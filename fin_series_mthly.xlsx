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taheri/python/investor_behavior/data/"/>
    </mc:Choice>
  </mc:AlternateContent>
  <xr:revisionPtr revIDLastSave="0" documentId="13_ncr:1_{A2E7EB34-4997-8C4F-AF9A-310854886EE9}" xr6:coauthVersionLast="47" xr6:coauthVersionMax="47" xr10:uidLastSave="{00000000-0000-0000-0000-000000000000}"/>
  <bookViews>
    <workbookView xWindow="-32560" yWindow="1500" windowWidth="27280" windowHeight="16400" xr2:uid="{BECAED20-7C53-6B4A-BE25-904669E02E53}"/>
  </bookViews>
  <sheets>
    <sheet name="mthly_data" sheetId="9" r:id="rId1"/>
    <sheet name="merged" sheetId="1" r:id="rId2"/>
    <sheet name="sp500_crsp_monthly" sheetId="3" r:id="rId3"/>
    <sheet name="cpi_fred_monthly" sheetId="2" r:id="rId4"/>
    <sheet name="icebondindex_fred_monthly" sheetId="4" r:id="rId5"/>
    <sheet name="mrktyield10yrtreas_fred_monthly" sheetId="5" r:id="rId6"/>
    <sheet name="3mtbdb_fred_monthly" sheetId="6" r:id="rId7"/>
    <sheet name="fedfundsrate_fred_monthly" sheetId="7" r:id="rId8"/>
    <sheet name="monetarypol_impl_dates" sheetId="8" r:id="rId9"/>
  </sheets>
  <definedNames>
    <definedName name="_xlnm._FilterDatabase" localSheetId="3" hidden="1">cpi_fred_monthly!$A$1:$C$315</definedName>
    <definedName name="_xlnm._FilterDatabase" localSheetId="4" hidden="1">icebondindex_fred_monthly!$A$1:$C$1</definedName>
    <definedName name="_xlnm._FilterDatabase" localSheetId="1" hidden="1">merged!$A$1:$H$1</definedName>
    <definedName name="_xlnm._FilterDatabase" localSheetId="0" hidden="1">mthly_data!$A$1:$F$1</definedName>
    <definedName name="psdhdnf0swaceg8s">sp500_crsp_monthly!$A$1:$K$313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3" i="9" l="1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Cameron Taheri</author>
  </authors>
  <commentList>
    <comment ref="L3" authorId="0" shapeId="0" xr:uid="{374AF3A2-5C42-E44A-9998-33DAF49B3FAF}">
      <text>
        <r>
          <rPr>
            <b/>
            <sz val="10"/>
            <color rgb="FF000000"/>
            <rFont val="Tahoma"/>
            <family val="2"/>
          </rPr>
          <t>Cameron Taheri: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pct return is calculated in ice_bond_pct_return from this index variable</t>
        </r>
      </text>
    </comment>
  </commentList>
</comments>
</file>

<file path=xl/sharedStrings.xml><?xml version="1.0" encoding="utf-8"?>
<sst xmlns="http://schemas.openxmlformats.org/spreadsheetml/2006/main" count="62" uniqueCount="41">
  <si>
    <t>Level of the S&amp;P 500 Index</t>
  </si>
  <si>
    <t>Value-Weighted Return-incl. dividends</t>
  </si>
  <si>
    <t>BOM</t>
  </si>
  <si>
    <t>Date of Observation</t>
  </si>
  <si>
    <t>CPIAUCSL</t>
  </si>
  <si>
    <t>observation_date</t>
  </si>
  <si>
    <t>Value-Weighted Return-excl. dividends</t>
  </si>
  <si>
    <t>Equal-Weighted Return-incl. dividends</t>
  </si>
  <si>
    <t>Equal-Weighted Return-excl. dividends</t>
  </si>
  <si>
    <t>Return on the S&amp;P 500 Index</t>
  </si>
  <si>
    <t>Total Market Value</t>
  </si>
  <si>
    <t>Total Market Count</t>
  </si>
  <si>
    <t>Market Value of Securities Used</t>
  </si>
  <si>
    <t>Count of Securities Used</t>
  </si>
  <si>
    <t>BAMLCC0A0CMTRIV</t>
  </si>
  <si>
    <t>GS10</t>
  </si>
  <si>
    <t>TB3MS</t>
  </si>
  <si>
    <t>DFF</t>
  </si>
  <si>
    <t>EOP_10YRTR</t>
  </si>
  <si>
    <t>EOP_3MTB</t>
  </si>
  <si>
    <t>MTHLY_CPI_ALL_URBAN</t>
  </si>
  <si>
    <t>EOP_DFF</t>
  </si>
  <si>
    <t>EOP</t>
  </si>
  <si>
    <t>EOP_ICE_BOND_INDEX_LEVEL</t>
  </si>
  <si>
    <t>EOP_VWR_INCL_DIV</t>
  </si>
  <si>
    <t>date</t>
  </si>
  <si>
    <t>action</t>
  </si>
  <si>
    <t>sp500_index_pct_return_m</t>
  </si>
  <si>
    <t>ice_bond_pct_return_m</t>
  </si>
  <si>
    <t>tr_10y</t>
  </si>
  <si>
    <t>tr_3m</t>
  </si>
  <si>
    <t>oldname</t>
  </si>
  <si>
    <t>-</t>
  </si>
  <si>
    <t>tr_10y_m</t>
  </si>
  <si>
    <t>tr_3m_m</t>
  </si>
  <si>
    <t>cpi_rate_m</t>
  </si>
  <si>
    <t>ffer_m</t>
  </si>
  <si>
    <t>newname (monthly)</t>
  </si>
  <si>
    <t>source</t>
  </si>
  <si>
    <t>CRSP - WRDS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</si>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</sst>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"/>
    <numFmt numFmtId="166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305F-2B6D-8C4F-878D-AD3F0B7C5CC6}">
  <dimension ref="A1:F313"/>
  <sheetViews>
    <sheetView tabSelected="1" zoomScaleNormal="100" workbookViewId="0">
      <selection activeCell="H2" sqref="H2"/>
    </sheetView>
  </sheetViews>
  <sheetFormatPr baseColWidth="10" defaultRowHeight="15" x14ac:dyDescent="0.2"/>
  <cols>
    <col min="1" max="1" width="10.1640625" bestFit="1" customWidth="1"/>
    <col min="2" max="2" width="16.5" bestFit="1" customWidth="1"/>
    <col min="3" max="3" width="19" bestFit="1" customWidth="1"/>
    <col min="5" max="5" width="9.33203125" bestFit="1" customWidth="1"/>
    <col min="6" max="6" width="8" bestFit="1" customWidth="1"/>
  </cols>
  <sheetData>
    <row r="1" spans="1:6" x14ac:dyDescent="0.2">
      <c r="A1" t="s">
        <v>25</v>
      </c>
      <c r="B1" t="s">
        <v>27</v>
      </c>
      <c r="C1" t="s">
        <v>28</v>
      </c>
      <c r="D1" t="s">
        <v>29</v>
      </c>
      <c r="E1" t="s">
        <v>30</v>
      </c>
      <c r="F1" t="s">
        <v>36</v>
      </c>
    </row>
    <row r="2" spans="1:6" x14ac:dyDescent="0.2">
      <c r="A2" s="1">
        <v>36189</v>
      </c>
      <c r="B2">
        <f>((_xlfn.XLOOKUP(A2,merged!A:A,merged!C:C))*100)/100</f>
        <v>3.8446760000000003E-2</v>
      </c>
      <c r="C2">
        <f>((merged!D3/merged!D2-1)*100)/100</f>
        <v>1.0214715482323333E-2</v>
      </c>
      <c r="D2">
        <v>4.72</v>
      </c>
      <c r="E2">
        <v>4.34</v>
      </c>
      <c r="F2">
        <v>4.79</v>
      </c>
    </row>
    <row r="3" spans="1:6" x14ac:dyDescent="0.2">
      <c r="A3" s="1">
        <v>36217</v>
      </c>
      <c r="B3">
        <f>((_xlfn.XLOOKUP(A3,merged!A:A,merged!C:C))*100)/100</f>
        <v>-3.8082610000000003E-2</v>
      </c>
      <c r="C3">
        <f>((merged!D4/merged!D3-1)*100)/100</f>
        <v>-2.5604593450440305E-2</v>
      </c>
      <c r="D3">
        <v>5</v>
      </c>
      <c r="E3">
        <v>4.4400000000000004</v>
      </c>
      <c r="F3">
        <v>4.84</v>
      </c>
    </row>
    <row r="4" spans="1:6" x14ac:dyDescent="0.2">
      <c r="A4" s="1">
        <v>36250</v>
      </c>
      <c r="B4">
        <f>((_xlfn.XLOOKUP(A4,merged!A:A,merged!C:C))*100)/100</f>
        <v>3.7925470000000003E-2</v>
      </c>
      <c r="C4">
        <f>((merged!D5/merged!D4-1)*100)/100</f>
        <v>9.0887299748312333E-3</v>
      </c>
      <c r="D4">
        <v>5.23</v>
      </c>
      <c r="E4">
        <v>4.4400000000000004</v>
      </c>
      <c r="F4">
        <v>4.9800000000000004</v>
      </c>
    </row>
    <row r="5" spans="1:6" x14ac:dyDescent="0.2">
      <c r="A5" s="1">
        <v>36280</v>
      </c>
      <c r="B5">
        <f>((_xlfn.XLOOKUP(A5,merged!A:A,merged!C:C))*100)/100</f>
        <v>4.9092019999999993E-2</v>
      </c>
      <c r="C5">
        <f>((merged!D6/merged!D5-1)*100)/100</f>
        <v>3.4740780331372623E-3</v>
      </c>
      <c r="D5">
        <v>5.18</v>
      </c>
      <c r="E5">
        <v>4.29</v>
      </c>
      <c r="F5">
        <v>5.03</v>
      </c>
    </row>
    <row r="6" spans="1:6" x14ac:dyDescent="0.2">
      <c r="A6" s="1">
        <v>36308</v>
      </c>
      <c r="B6">
        <f>((_xlfn.XLOOKUP(A6,merged!A:A,merged!C:C))*100)/100</f>
        <v>-2.0707760000000006E-2</v>
      </c>
      <c r="C6">
        <f>((merged!D7/merged!D6-1)*100)/100</f>
        <v>-1.4469596094096815E-2</v>
      </c>
      <c r="D6">
        <v>5.54</v>
      </c>
      <c r="E6">
        <v>4.5</v>
      </c>
      <c r="F6">
        <v>4.6100000000000003</v>
      </c>
    </row>
    <row r="7" spans="1:6" x14ac:dyDescent="0.2">
      <c r="A7" s="1">
        <v>36341</v>
      </c>
      <c r="B7">
        <f>((_xlfn.XLOOKUP(A7,merged!A:A,merged!C:C))*100)/100</f>
        <v>5.0823480000000004E-2</v>
      </c>
      <c r="C7">
        <f>((merged!D8/merged!D7-1)*100)/100</f>
        <v>-4.934045917652452E-3</v>
      </c>
      <c r="D7">
        <v>5.9</v>
      </c>
      <c r="E7">
        <v>4.57</v>
      </c>
      <c r="F7">
        <v>5.12</v>
      </c>
    </row>
    <row r="8" spans="1:6" x14ac:dyDescent="0.2">
      <c r="A8" s="1">
        <v>36371</v>
      </c>
      <c r="B8">
        <f>((_xlfn.XLOOKUP(A8,merged!A:A,merged!C:C))*100)/100</f>
        <v>-3.083348E-2</v>
      </c>
      <c r="C8">
        <f>((merged!D9/merged!D8-1)*100)/100</f>
        <v>-5.843600704048213E-3</v>
      </c>
      <c r="D8">
        <v>5.79</v>
      </c>
      <c r="E8">
        <v>4.55</v>
      </c>
      <c r="F8">
        <v>5.07</v>
      </c>
    </row>
    <row r="9" spans="1:6" x14ac:dyDescent="0.2">
      <c r="A9" s="1">
        <v>36403</v>
      </c>
      <c r="B9">
        <f>((_xlfn.XLOOKUP(A9,merged!A:A,merged!C:C))*100)/100</f>
        <v>-9.9184420000000013E-3</v>
      </c>
      <c r="C9">
        <f>((merged!D10/merged!D9-1)*100)/100</f>
        <v>-2.5697057990369254E-3</v>
      </c>
      <c r="D9">
        <v>5.94</v>
      </c>
      <c r="E9">
        <v>4.72</v>
      </c>
      <c r="F9">
        <v>5.57</v>
      </c>
    </row>
    <row r="10" spans="1:6" x14ac:dyDescent="0.2">
      <c r="A10" s="1">
        <v>36433</v>
      </c>
      <c r="B10">
        <f>((_xlfn.XLOOKUP(A10,merged!A:A,merged!C:C))*100)/100</f>
        <v>-2.266901E-2</v>
      </c>
      <c r="C10">
        <f>((merged!D11/merged!D10-1)*100)/100</f>
        <v>1.1339892484024894E-2</v>
      </c>
      <c r="D10">
        <v>5.92</v>
      </c>
      <c r="E10">
        <v>4.68</v>
      </c>
      <c r="F10">
        <v>5.51</v>
      </c>
    </row>
    <row r="11" spans="1:6" x14ac:dyDescent="0.2">
      <c r="A11" s="1">
        <v>36462</v>
      </c>
      <c r="B11">
        <f>((_xlfn.XLOOKUP(A11,merged!A:A,merged!C:C))*100)/100</f>
        <v>6.2107270000000006E-2</v>
      </c>
      <c r="C11">
        <f>((merged!D12/merged!D11-1)*100)/100</f>
        <v>3.1090785092469098E-3</v>
      </c>
      <c r="D11">
        <v>6.11</v>
      </c>
      <c r="E11">
        <v>4.8600000000000003</v>
      </c>
      <c r="F11">
        <v>5.27</v>
      </c>
    </row>
    <row r="12" spans="1:6" x14ac:dyDescent="0.2">
      <c r="A12" s="1">
        <v>36494</v>
      </c>
      <c r="B12">
        <f>((_xlfn.XLOOKUP(A12,merged!A:A,merged!C:C))*100)/100</f>
        <v>3.6822239999999999E-2</v>
      </c>
      <c r="C12">
        <f>((merged!D13/merged!D12-1)*100)/100</f>
        <v>1.3797516447040525E-3</v>
      </c>
      <c r="D12">
        <v>6.03</v>
      </c>
      <c r="E12">
        <v>5.07</v>
      </c>
      <c r="F12">
        <v>5.63</v>
      </c>
    </row>
    <row r="13" spans="1:6" x14ac:dyDescent="0.2">
      <c r="A13" s="1">
        <v>36525</v>
      </c>
      <c r="B13">
        <f>((_xlfn.XLOOKUP(A13,merged!A:A,merged!C:C))*100)/100</f>
        <v>8.3744510000000008E-2</v>
      </c>
      <c r="C13">
        <f>((merged!D14/merged!D13-1)*100)/100</f>
        <v>-3.5844083230159862E-3</v>
      </c>
      <c r="D13">
        <v>6.28</v>
      </c>
      <c r="E13">
        <v>5.2</v>
      </c>
      <c r="F13">
        <v>3.99</v>
      </c>
    </row>
    <row r="14" spans="1:6" x14ac:dyDescent="0.2">
      <c r="A14" s="1">
        <v>36556</v>
      </c>
      <c r="B14">
        <f>((_xlfn.XLOOKUP(A14,merged!A:A,merged!C:C))*100)/100</f>
        <v>-3.9621959999999998E-2</v>
      </c>
      <c r="C14">
        <f>((merged!D15/merged!D14-1)*100)/100</f>
        <v>-3.3467939918033762E-3</v>
      </c>
      <c r="D14">
        <v>6.66</v>
      </c>
      <c r="E14">
        <v>5.32</v>
      </c>
      <c r="F14">
        <v>5.87</v>
      </c>
    </row>
    <row r="15" spans="1:6" x14ac:dyDescent="0.2">
      <c r="A15" s="1">
        <v>36585</v>
      </c>
      <c r="B15">
        <f>((_xlfn.XLOOKUP(A15,merged!A:A,merged!C:C))*100)/100</f>
        <v>3.1760280000000002E-2</v>
      </c>
      <c r="C15">
        <f>((merged!D16/merged!D15-1)*100)/100</f>
        <v>7.7415722429445832E-3</v>
      </c>
      <c r="D15">
        <v>6.52</v>
      </c>
      <c r="E15">
        <v>5.55</v>
      </c>
      <c r="F15">
        <v>5.85</v>
      </c>
    </row>
    <row r="16" spans="1:6" x14ac:dyDescent="0.2">
      <c r="A16" s="1">
        <v>36616</v>
      </c>
      <c r="B16">
        <f>((_xlfn.XLOOKUP(A16,merged!A:A,merged!C:C))*100)/100</f>
        <v>5.3499020000000001E-2</v>
      </c>
      <c r="C16">
        <f>((merged!D17/merged!D16-1)*100)/100</f>
        <v>1.1084173874871484E-2</v>
      </c>
      <c r="D16">
        <v>6.26</v>
      </c>
      <c r="E16">
        <v>5.69</v>
      </c>
      <c r="F16">
        <v>6.17</v>
      </c>
    </row>
    <row r="17" spans="1:6" x14ac:dyDescent="0.2">
      <c r="A17" s="1">
        <v>36644</v>
      </c>
      <c r="B17">
        <f>((_xlfn.XLOOKUP(A17,merged!A:A,merged!C:C))*100)/100</f>
        <v>-5.951859000000001E-2</v>
      </c>
      <c r="C17">
        <f>((merged!D18/merged!D17-1)*100)/100</f>
        <v>-1.2353962740764168E-2</v>
      </c>
      <c r="D17">
        <v>5.99</v>
      </c>
      <c r="E17">
        <v>5.66</v>
      </c>
      <c r="F17">
        <v>6.06</v>
      </c>
    </row>
    <row r="18" spans="1:6" x14ac:dyDescent="0.2">
      <c r="A18" s="1">
        <v>36677</v>
      </c>
      <c r="B18">
        <f>((_xlfn.XLOOKUP(A18,merged!A:A,merged!C:C))*100)/100</f>
        <v>-3.8862609999999999E-2</v>
      </c>
      <c r="C18">
        <f>((merged!D19/merged!D18-1)*100)/100</f>
        <v>-5.5748711185708011E-3</v>
      </c>
      <c r="D18">
        <v>6.44</v>
      </c>
      <c r="E18">
        <v>5.79</v>
      </c>
      <c r="F18">
        <v>6.83</v>
      </c>
    </row>
    <row r="19" spans="1:6" x14ac:dyDescent="0.2">
      <c r="A19" s="1">
        <v>36707</v>
      </c>
      <c r="B19">
        <f>((_xlfn.XLOOKUP(A19,merged!A:A,merged!C:C))*100)/100</f>
        <v>5.1576419999999998E-2</v>
      </c>
      <c r="C19">
        <f>((merged!D20/merged!D19-1)*100)/100</f>
        <v>2.4926155886430656E-2</v>
      </c>
      <c r="D19">
        <v>6.1</v>
      </c>
      <c r="E19">
        <v>5.69</v>
      </c>
      <c r="F19">
        <v>6.86</v>
      </c>
    </row>
    <row r="20" spans="1:6" x14ac:dyDescent="0.2">
      <c r="A20" s="1">
        <v>36738</v>
      </c>
      <c r="B20">
        <f>((_xlfn.XLOOKUP(A20,merged!A:A,merged!C:C))*100)/100</f>
        <v>-1.7679250000000001E-2</v>
      </c>
      <c r="C20">
        <f>((merged!D21/merged!D20-1)*100)/100</f>
        <v>1.1821790913101093E-2</v>
      </c>
      <c r="D20">
        <v>6.05</v>
      </c>
      <c r="E20">
        <v>5.96</v>
      </c>
      <c r="F20">
        <v>6.64</v>
      </c>
    </row>
    <row r="21" spans="1:6" x14ac:dyDescent="0.2">
      <c r="A21" s="1">
        <v>36769</v>
      </c>
      <c r="B21">
        <f>((_xlfn.XLOOKUP(A21,merged!A:A,merged!C:C))*100)/100</f>
        <v>7.498378E-2</v>
      </c>
      <c r="C21">
        <f>((merged!D22/merged!D21-1)*100)/100</f>
        <v>1.2952790614312981E-2</v>
      </c>
      <c r="D21">
        <v>5.83</v>
      </c>
      <c r="E21">
        <v>6.09</v>
      </c>
      <c r="F21">
        <v>6.65</v>
      </c>
    </row>
    <row r="22" spans="1:6" x14ac:dyDescent="0.2">
      <c r="A22" s="1">
        <v>36798</v>
      </c>
      <c r="B22">
        <f>((_xlfn.XLOOKUP(A22,merged!A:A,merged!C:C))*100)/100</f>
        <v>-5.1154390000000001E-2</v>
      </c>
      <c r="C22">
        <f>((merged!D23/merged!D22-1)*100)/100</f>
        <v>7.8616652958167776E-3</v>
      </c>
      <c r="D22">
        <v>5.8</v>
      </c>
      <c r="E22">
        <v>6</v>
      </c>
      <c r="F22">
        <v>6.6</v>
      </c>
    </row>
    <row r="23" spans="1:6" x14ac:dyDescent="0.2">
      <c r="A23" s="1">
        <v>36830</v>
      </c>
      <c r="B23">
        <f>((_xlfn.XLOOKUP(A23,merged!A:A,merged!C:C))*100)/100</f>
        <v>-2.4480120000000005E-2</v>
      </c>
      <c r="C23">
        <f>((merged!D24/merged!D23-1)*100)/100</f>
        <v>-5.3141013475033194E-4</v>
      </c>
      <c r="D23">
        <v>5.74</v>
      </c>
      <c r="E23">
        <v>6.11</v>
      </c>
      <c r="F23">
        <v>6.59</v>
      </c>
    </row>
    <row r="24" spans="1:6" x14ac:dyDescent="0.2">
      <c r="A24" s="1">
        <v>36860</v>
      </c>
      <c r="B24">
        <f>((_xlfn.XLOOKUP(A24,merged!A:A,merged!C:C))*100)/100</f>
        <v>-0.1023654</v>
      </c>
      <c r="C24">
        <f>((merged!D25/merged!D24-1)*100)/100</f>
        <v>1.4241768257946985E-2</v>
      </c>
      <c r="D24">
        <v>5.72</v>
      </c>
      <c r="E24">
        <v>6.17</v>
      </c>
      <c r="F24">
        <v>6.62</v>
      </c>
    </row>
    <row r="25" spans="1:6" x14ac:dyDescent="0.2">
      <c r="A25" s="1">
        <v>36889</v>
      </c>
      <c r="B25">
        <f>((_xlfn.XLOOKUP(A25,merged!A:A,merged!C:C))*100)/100</f>
        <v>2.0449549999999997E-2</v>
      </c>
      <c r="C25">
        <f>((merged!D26/merged!D25-1)*100)/100</f>
        <v>1.9555530592376247E-2</v>
      </c>
      <c r="D25">
        <v>5.24</v>
      </c>
      <c r="E25">
        <v>5.77</v>
      </c>
      <c r="F25">
        <v>5.41</v>
      </c>
    </row>
    <row r="26" spans="1:6" x14ac:dyDescent="0.2">
      <c r="A26" s="1">
        <v>36922</v>
      </c>
      <c r="B26">
        <f>((_xlfn.XLOOKUP(A26,merged!A:A,merged!C:C))*100)/100</f>
        <v>3.9573070000000002E-2</v>
      </c>
      <c r="C26">
        <f>((merged!D27/merged!D26-1)*100)/100</f>
        <v>2.6360489565065537E-2</v>
      </c>
      <c r="D26">
        <v>5.16</v>
      </c>
      <c r="E26">
        <v>5.15</v>
      </c>
      <c r="F26">
        <v>5.74</v>
      </c>
    </row>
    <row r="27" spans="1:6" x14ac:dyDescent="0.2">
      <c r="A27" s="1">
        <v>36950</v>
      </c>
      <c r="B27">
        <f>((_xlfn.XLOOKUP(A27,merged!A:A,merged!C:C))*100)/100</f>
        <v>-9.9084409999999998E-2</v>
      </c>
      <c r="C27">
        <f>((merged!D28/merged!D27-1)*100)/100</f>
        <v>9.8135690259786301E-3</v>
      </c>
      <c r="D27">
        <v>5.0999999999999996</v>
      </c>
      <c r="E27">
        <v>4.88</v>
      </c>
      <c r="F27">
        <v>5.59</v>
      </c>
    </row>
    <row r="28" spans="1:6" x14ac:dyDescent="0.2">
      <c r="A28" s="1">
        <v>36980</v>
      </c>
      <c r="B28">
        <f>((_xlfn.XLOOKUP(A28,merged!A:A,merged!C:C))*100)/100</f>
        <v>-7.0408079999999998E-2</v>
      </c>
      <c r="C28">
        <f>((merged!D29/merged!D28-1)*100)/100</f>
        <v>7.751525943249904E-3</v>
      </c>
      <c r="D28">
        <v>4.8899999999999997</v>
      </c>
      <c r="E28">
        <v>4.42</v>
      </c>
      <c r="F28">
        <v>5.29</v>
      </c>
    </row>
    <row r="29" spans="1:6" x14ac:dyDescent="0.2">
      <c r="A29" s="1">
        <v>37011</v>
      </c>
      <c r="B29">
        <f>((_xlfn.XLOOKUP(A29,merged!A:A,merged!C:C))*100)/100</f>
        <v>8.3834279999999997E-2</v>
      </c>
      <c r="C29">
        <f>((merged!D30/merged!D29-1)*100)/100</f>
        <v>-5.2392840817188091E-3</v>
      </c>
      <c r="D29">
        <v>5.14</v>
      </c>
      <c r="E29">
        <v>3.87</v>
      </c>
      <c r="F29">
        <v>4.67</v>
      </c>
    </row>
    <row r="30" spans="1:6" x14ac:dyDescent="0.2">
      <c r="A30" s="1">
        <v>37042</v>
      </c>
      <c r="B30">
        <f>((_xlfn.XLOOKUP(A30,merged!A:A,merged!C:C))*100)/100</f>
        <v>1.0441860000000001E-2</v>
      </c>
      <c r="C30">
        <f>((merged!D31/merged!D30-1)*100)/100</f>
        <v>1.0224460940261748E-2</v>
      </c>
      <c r="D30">
        <v>5.39</v>
      </c>
      <c r="E30">
        <v>3.62</v>
      </c>
      <c r="F30">
        <v>4.24</v>
      </c>
    </row>
    <row r="31" spans="1:6" x14ac:dyDescent="0.2">
      <c r="A31" s="1">
        <v>37071</v>
      </c>
      <c r="B31">
        <f>((_xlfn.XLOOKUP(A31,merged!A:A,merged!C:C))*100)/100</f>
        <v>-1.756081E-2</v>
      </c>
      <c r="C31">
        <f>((merged!D32/merged!D31-1)*100)/100</f>
        <v>4.5137643570072328E-3</v>
      </c>
      <c r="D31">
        <v>5.28</v>
      </c>
      <c r="E31">
        <v>3.49</v>
      </c>
      <c r="F31">
        <v>3.95</v>
      </c>
    </row>
    <row r="32" spans="1:6" x14ac:dyDescent="0.2">
      <c r="A32" s="1">
        <v>37103</v>
      </c>
      <c r="B32">
        <f>((_xlfn.XLOOKUP(A32,merged!A:A,merged!C:C))*100)/100</f>
        <v>-1.8283600000000001E-2</v>
      </c>
      <c r="C32">
        <f>((merged!D33/merged!D32-1)*100)/100</f>
        <v>2.800588680954097E-2</v>
      </c>
      <c r="D32">
        <v>5.24</v>
      </c>
      <c r="E32">
        <v>3.51</v>
      </c>
      <c r="F32">
        <v>3.82</v>
      </c>
    </row>
    <row r="33" spans="1:6" x14ac:dyDescent="0.2">
      <c r="A33" s="1">
        <v>37134</v>
      </c>
      <c r="B33">
        <f>((_xlfn.XLOOKUP(A33,merged!A:A,merged!C:C))*100)/100</f>
        <v>-5.8979839999999999E-2</v>
      </c>
      <c r="C33">
        <f>((merged!D34/merged!D33-1)*100)/100</f>
        <v>1.0851426102719941E-2</v>
      </c>
      <c r="D33">
        <v>4.97</v>
      </c>
      <c r="E33">
        <v>3.36</v>
      </c>
      <c r="F33">
        <v>3.66</v>
      </c>
    </row>
    <row r="34" spans="1:6" x14ac:dyDescent="0.2">
      <c r="A34" s="1">
        <v>37162</v>
      </c>
      <c r="B34">
        <f>((_xlfn.XLOOKUP(A34,merged!A:A,merged!C:C))*100)/100</f>
        <v>-9.1497030000000007E-2</v>
      </c>
      <c r="C34">
        <f>((merged!D35/merged!D34-1)*100)/100</f>
        <v>2.7570602530797572E-3</v>
      </c>
      <c r="D34">
        <v>4.7300000000000004</v>
      </c>
      <c r="E34">
        <v>2.64</v>
      </c>
      <c r="F34">
        <v>2.75</v>
      </c>
    </row>
    <row r="35" spans="1:6" x14ac:dyDescent="0.2">
      <c r="A35" s="1">
        <v>37195</v>
      </c>
      <c r="B35">
        <f>((_xlfn.XLOOKUP(A35,merged!A:A,merged!C:C))*100)/100</f>
        <v>2.7846570000000001E-2</v>
      </c>
      <c r="C35">
        <f>((merged!D36/merged!D35-1)*100)/100</f>
        <v>2.1962409847984699E-2</v>
      </c>
      <c r="D35">
        <v>4.57</v>
      </c>
      <c r="E35">
        <v>2.16</v>
      </c>
      <c r="F35">
        <v>2.66</v>
      </c>
    </row>
    <row r="36" spans="1:6" x14ac:dyDescent="0.2">
      <c r="A36" s="1">
        <v>37225</v>
      </c>
      <c r="B36">
        <f>((_xlfn.XLOOKUP(A36,merged!A:A,merged!C:C))*100)/100</f>
        <v>7.8788830000000004E-2</v>
      </c>
      <c r="C36">
        <f>((merged!D37/merged!D36-1)*100)/100</f>
        <v>-8.2020165675827927E-3</v>
      </c>
      <c r="D36">
        <v>4.6500000000000004</v>
      </c>
      <c r="E36">
        <v>1.87</v>
      </c>
      <c r="F36">
        <v>2.06</v>
      </c>
    </row>
    <row r="37" spans="1:6" x14ac:dyDescent="0.2">
      <c r="A37" s="1">
        <v>37256</v>
      </c>
      <c r="B37">
        <f>((_xlfn.XLOOKUP(A37,merged!A:A,merged!C:C))*100)/100</f>
        <v>1.7853540000000001E-2</v>
      </c>
      <c r="C37">
        <f>((merged!D38/merged!D37-1)*100)/100</f>
        <v>-5.8870090036606815E-3</v>
      </c>
      <c r="D37">
        <v>5.09</v>
      </c>
      <c r="E37">
        <v>1.69</v>
      </c>
      <c r="F37">
        <v>1.52</v>
      </c>
    </row>
    <row r="38" spans="1:6" x14ac:dyDescent="0.2">
      <c r="A38" s="1">
        <v>37287</v>
      </c>
      <c r="B38">
        <f>((_xlfn.XLOOKUP(A38,merged!A:A,merged!C:C))*100)/100</f>
        <v>-1.5966150000000002E-2</v>
      </c>
      <c r="C38">
        <f>((merged!D39/merged!D38-1)*100)/100</f>
        <v>5.1671228332088592E-3</v>
      </c>
      <c r="D38">
        <v>5.04</v>
      </c>
      <c r="E38">
        <v>1.65</v>
      </c>
      <c r="F38">
        <v>1.85</v>
      </c>
    </row>
    <row r="39" spans="1:6" x14ac:dyDescent="0.2">
      <c r="A39" s="1">
        <v>37315</v>
      </c>
      <c r="B39">
        <f>((_xlfn.XLOOKUP(A39,merged!A:A,merged!C:C))*100)/100</f>
        <v>-2.169973E-2</v>
      </c>
      <c r="C39">
        <f>((merged!D40/merged!D39-1)*100)/100</f>
        <v>7.5416897015503359E-3</v>
      </c>
      <c r="D39">
        <v>4.91</v>
      </c>
      <c r="E39">
        <v>1.72</v>
      </c>
      <c r="F39">
        <v>1.83</v>
      </c>
    </row>
    <row r="40" spans="1:6" x14ac:dyDescent="0.2">
      <c r="A40" s="1">
        <v>37343</v>
      </c>
      <c r="B40">
        <f>((_xlfn.XLOOKUP(A40,merged!A:A,merged!C:C))*100)/100</f>
        <v>4.4698359999999999E-2</v>
      </c>
      <c r="C40">
        <f>((merged!D41/merged!D40-1)*100)/100</f>
        <v>-1.8647579581842155E-2</v>
      </c>
      <c r="D40">
        <v>5.28</v>
      </c>
      <c r="E40">
        <v>1.79</v>
      </c>
      <c r="F40">
        <v>1.74</v>
      </c>
    </row>
    <row r="41" spans="1:6" x14ac:dyDescent="0.2">
      <c r="A41" s="1">
        <v>37376</v>
      </c>
      <c r="B41">
        <f>((_xlfn.XLOOKUP(A41,merged!A:A,merged!C:C))*100)/100</f>
        <v>-4.9600129999999999E-2</v>
      </c>
      <c r="C41">
        <f>((merged!D42/merged!D41-1)*100)/100</f>
        <v>1.2968371860135219E-2</v>
      </c>
      <c r="D41">
        <v>5.21</v>
      </c>
      <c r="E41">
        <v>1.71</v>
      </c>
      <c r="F41">
        <v>1.82</v>
      </c>
    </row>
    <row r="42" spans="1:6" x14ac:dyDescent="0.2">
      <c r="A42" s="1">
        <v>37407</v>
      </c>
      <c r="B42">
        <f>((_xlfn.XLOOKUP(A42,merged!A:A,merged!C:C))*100)/100</f>
        <v>-1.0509549999999999E-2</v>
      </c>
      <c r="C42">
        <f>((merged!D43/merged!D42-1)*100)/100</f>
        <v>1.2892967771699793E-2</v>
      </c>
      <c r="D42">
        <v>5.16</v>
      </c>
      <c r="E42">
        <v>1.73</v>
      </c>
      <c r="F42">
        <v>1.79</v>
      </c>
    </row>
    <row r="43" spans="1:6" x14ac:dyDescent="0.2">
      <c r="A43" s="1">
        <v>37435</v>
      </c>
      <c r="B43">
        <f>((_xlfn.XLOOKUP(A43,merged!A:A,merged!C:C))*100)/100</f>
        <v>-7.0259180000000004E-2</v>
      </c>
      <c r="C43">
        <f>((merged!D44/merged!D43-1)*100)/100</f>
        <v>1.220018056267147E-4</v>
      </c>
      <c r="D43">
        <v>4.93</v>
      </c>
      <c r="E43">
        <v>1.7</v>
      </c>
      <c r="F43">
        <v>1.73</v>
      </c>
    </row>
    <row r="44" spans="1:6" x14ac:dyDescent="0.2">
      <c r="A44" s="1">
        <v>37468</v>
      </c>
      <c r="B44">
        <f>((_xlfn.XLOOKUP(A44,merged!A:A,merged!C:C))*100)/100</f>
        <v>-8.1124630000000003E-2</v>
      </c>
      <c r="C44">
        <f>((merged!D45/merged!D44-1)*100)/100</f>
        <v>5.4487492274146732E-4</v>
      </c>
      <c r="D44">
        <v>4.6500000000000004</v>
      </c>
      <c r="E44">
        <v>1.68</v>
      </c>
      <c r="F44">
        <v>1.76</v>
      </c>
    </row>
    <row r="45" spans="1:6" x14ac:dyDescent="0.2">
      <c r="A45" s="1">
        <v>37498</v>
      </c>
      <c r="B45">
        <f>((_xlfn.XLOOKUP(A45,merged!A:A,merged!C:C))*100)/100</f>
        <v>7.9489020000000007E-3</v>
      </c>
      <c r="C45">
        <f>((merged!D46/merged!D45-1)*100)/100</f>
        <v>2.6424234542513636E-2</v>
      </c>
      <c r="D45">
        <v>4.26</v>
      </c>
      <c r="E45">
        <v>1.62</v>
      </c>
      <c r="F45">
        <v>1.81</v>
      </c>
    </row>
    <row r="46" spans="1:6" x14ac:dyDescent="0.2">
      <c r="A46" s="1">
        <v>37529</v>
      </c>
      <c r="B46">
        <f>((_xlfn.XLOOKUP(A46,merged!A:A,merged!C:C))*100)/100</f>
        <v>-9.9922810000000001E-2</v>
      </c>
      <c r="C46">
        <f>((merged!D47/merged!D46-1)*100)/100</f>
        <v>1.9377266752189648E-2</v>
      </c>
      <c r="D46">
        <v>3.87</v>
      </c>
      <c r="E46">
        <v>1.63</v>
      </c>
      <c r="F46">
        <v>1.85</v>
      </c>
    </row>
    <row r="47" spans="1:6" x14ac:dyDescent="0.2">
      <c r="A47" s="1">
        <v>37560</v>
      </c>
      <c r="B47">
        <f>((_xlfn.XLOOKUP(A47,merged!A:A,merged!C:C))*100)/100</f>
        <v>7.4939660000000005E-2</v>
      </c>
      <c r="C47">
        <f>((merged!D48/merged!D47-1)*100)/100</f>
        <v>-1.2763246820840735E-2</v>
      </c>
      <c r="D47">
        <v>3.94</v>
      </c>
      <c r="E47">
        <v>1.58</v>
      </c>
      <c r="F47">
        <v>1.82</v>
      </c>
    </row>
    <row r="48" spans="1:6" x14ac:dyDescent="0.2">
      <c r="A48" s="1">
        <v>37589</v>
      </c>
      <c r="B48">
        <f>((_xlfn.XLOOKUP(A48,merged!A:A,merged!C:C))*100)/100</f>
        <v>6.1281610000000007E-2</v>
      </c>
      <c r="C48">
        <f>((merged!D49/merged!D48-1)*100)/100</f>
        <v>1.3809546291487784E-2</v>
      </c>
      <c r="D48">
        <v>4.05</v>
      </c>
      <c r="E48">
        <v>1.23</v>
      </c>
      <c r="F48">
        <v>1.23</v>
      </c>
    </row>
    <row r="49" spans="1:6" x14ac:dyDescent="0.2">
      <c r="A49" s="1">
        <v>37621</v>
      </c>
      <c r="B49">
        <f>((_xlfn.XLOOKUP(A49,merged!A:A,merged!C:C))*100)/100</f>
        <v>-5.3334409999999999E-2</v>
      </c>
      <c r="C49">
        <f>((merged!D50/merged!D49-1)*100)/100</f>
        <v>3.0976164419711072E-2</v>
      </c>
      <c r="D49">
        <v>4.03</v>
      </c>
      <c r="E49">
        <v>1.19</v>
      </c>
      <c r="F49">
        <v>1.1599999999999999</v>
      </c>
    </row>
    <row r="50" spans="1:6" x14ac:dyDescent="0.2">
      <c r="A50" s="1">
        <v>37652</v>
      </c>
      <c r="B50">
        <f>((_xlfn.XLOOKUP(A50,merged!A:A,merged!C:C))*100)/100</f>
        <v>-2.336659E-2</v>
      </c>
      <c r="C50">
        <f>((merged!D51/merged!D50-1)*100)/100</f>
        <v>3.4630209588051297E-3</v>
      </c>
      <c r="D50">
        <v>4.05</v>
      </c>
      <c r="E50">
        <v>1.17</v>
      </c>
      <c r="F50">
        <v>1.33</v>
      </c>
    </row>
    <row r="51" spans="1:6" x14ac:dyDescent="0.2">
      <c r="A51" s="1">
        <v>37680</v>
      </c>
      <c r="B51">
        <f>((_xlfn.XLOOKUP(A51,merged!A:A,merged!C:C))*100)/100</f>
        <v>-1.5417210000000001E-2</v>
      </c>
      <c r="C51">
        <f>((merged!D52/merged!D51-1)*100)/100</f>
        <v>2.0856465504306199E-2</v>
      </c>
      <c r="D51">
        <v>3.9</v>
      </c>
      <c r="E51">
        <v>1.17</v>
      </c>
      <c r="F51">
        <v>1.33</v>
      </c>
    </row>
    <row r="52" spans="1:6" x14ac:dyDescent="0.2">
      <c r="A52" s="1">
        <v>37711</v>
      </c>
      <c r="B52">
        <f>((_xlfn.XLOOKUP(A52,merged!A:A,merged!C:C))*100)/100</f>
        <v>1.032112E-2</v>
      </c>
      <c r="C52">
        <f>((merged!D53/merged!D52-1)*100)/100</f>
        <v>9.1128226233161413E-4</v>
      </c>
      <c r="D52">
        <v>3.81</v>
      </c>
      <c r="E52">
        <v>1.1299999999999999</v>
      </c>
      <c r="F52">
        <v>1.38</v>
      </c>
    </row>
    <row r="53" spans="1:6" x14ac:dyDescent="0.2">
      <c r="A53" s="1">
        <v>37741</v>
      </c>
      <c r="B53">
        <f>((_xlfn.XLOOKUP(A53,merged!A:A,merged!C:C))*100)/100</f>
        <v>8.2767610000000005E-2</v>
      </c>
      <c r="C53">
        <f>((merged!D54/merged!D53-1)*100)/100</f>
        <v>1.9009368850773756E-2</v>
      </c>
      <c r="D53">
        <v>3.96</v>
      </c>
      <c r="E53">
        <v>1.1299999999999999</v>
      </c>
      <c r="F53">
        <v>1.31</v>
      </c>
    </row>
    <row r="54" spans="1:6" x14ac:dyDescent="0.2">
      <c r="A54" s="1">
        <v>37771</v>
      </c>
      <c r="B54">
        <f>((_xlfn.XLOOKUP(A54,merged!A:A,merged!C:C))*100)/100</f>
        <v>6.3471260000000002E-2</v>
      </c>
      <c r="C54">
        <f>((merged!D55/merged!D54-1)*100)/100</f>
        <v>3.1876643729509713E-2</v>
      </c>
      <c r="D54">
        <v>3.57</v>
      </c>
      <c r="E54">
        <v>1.07</v>
      </c>
      <c r="F54">
        <v>1.28</v>
      </c>
    </row>
    <row r="55" spans="1:6" x14ac:dyDescent="0.2">
      <c r="A55" s="1">
        <v>37802</v>
      </c>
      <c r="B55">
        <f>((_xlfn.XLOOKUP(A55,merged!A:A,merged!C:C))*100)/100</f>
        <v>1.634584E-2</v>
      </c>
      <c r="C55">
        <f>((merged!D56/merged!D55-1)*100)/100</f>
        <v>-1.6409583196586031E-3</v>
      </c>
      <c r="D55">
        <v>3.33</v>
      </c>
      <c r="E55">
        <v>0.92</v>
      </c>
      <c r="F55">
        <v>1.45</v>
      </c>
    </row>
    <row r="56" spans="1:6" x14ac:dyDescent="0.2">
      <c r="A56" s="1">
        <v>37833</v>
      </c>
      <c r="B56">
        <f>((_xlfn.XLOOKUP(A56,merged!A:A,merged!C:C))*100)/100</f>
        <v>2.3112189999999998E-2</v>
      </c>
      <c r="C56">
        <f>((merged!D57/merged!D56-1)*100)/100</f>
        <v>-4.2217466112719704E-2</v>
      </c>
      <c r="D56">
        <v>3.98</v>
      </c>
      <c r="E56">
        <v>0.9</v>
      </c>
      <c r="F56">
        <v>1.04</v>
      </c>
    </row>
    <row r="57" spans="1:6" x14ac:dyDescent="0.2">
      <c r="A57" s="1">
        <v>37862</v>
      </c>
      <c r="B57">
        <f>((_xlfn.XLOOKUP(A57,merged!A:A,merged!C:C))*100)/100</f>
        <v>2.4965359999999999E-2</v>
      </c>
      <c r="C57">
        <f>((merged!D58/merged!D57-1)*100)/100</f>
        <v>7.8502680044982842E-3</v>
      </c>
      <c r="D57">
        <v>4.45</v>
      </c>
      <c r="E57">
        <v>0.95</v>
      </c>
      <c r="F57">
        <v>1.01</v>
      </c>
    </row>
    <row r="58" spans="1:6" x14ac:dyDescent="0.2">
      <c r="A58" s="1">
        <v>37894</v>
      </c>
      <c r="B58">
        <f>((_xlfn.XLOOKUP(A58,merged!A:A,merged!C:C))*100)/100</f>
        <v>-9.1202350000000008E-3</v>
      </c>
      <c r="C58">
        <f>((merged!D59/merged!D58-1)*100)/100</f>
        <v>3.5692289856752657E-2</v>
      </c>
      <c r="D58">
        <v>4.2699999999999996</v>
      </c>
      <c r="E58">
        <v>0.94</v>
      </c>
      <c r="F58">
        <v>1.17</v>
      </c>
    </row>
    <row r="59" spans="1:6" x14ac:dyDescent="0.2">
      <c r="A59" s="1">
        <v>37925</v>
      </c>
      <c r="B59">
        <f>((_xlfn.XLOOKUP(A59,merged!A:A,merged!C:C))*100)/100</f>
        <v>6.0360790000000011E-2</v>
      </c>
      <c r="C59">
        <f>((merged!D60/merged!D59-1)*100)/100</f>
        <v>-1.1235562022960943E-2</v>
      </c>
      <c r="D59">
        <v>4.29</v>
      </c>
      <c r="E59">
        <v>0.92</v>
      </c>
      <c r="F59">
        <v>1.03</v>
      </c>
    </row>
    <row r="60" spans="1:6" x14ac:dyDescent="0.2">
      <c r="A60" s="1">
        <v>37953</v>
      </c>
      <c r="B60">
        <f>((_xlfn.XLOOKUP(A60,merged!A:A,merged!C:C))*100)/100</f>
        <v>1.6594100000000001E-2</v>
      </c>
      <c r="C60">
        <f>((merged!D61/merged!D60-1)*100)/100</f>
        <v>4.8750114976687797E-3</v>
      </c>
      <c r="D60">
        <v>4.3</v>
      </c>
      <c r="E60">
        <v>0.93</v>
      </c>
      <c r="F60">
        <v>1.01</v>
      </c>
    </row>
    <row r="61" spans="1:6" x14ac:dyDescent="0.2">
      <c r="A61" s="1">
        <v>37986</v>
      </c>
      <c r="B61">
        <f>((_xlfn.XLOOKUP(A61,merged!A:A,merged!C:C))*100)/100</f>
        <v>4.5476390000000005E-2</v>
      </c>
      <c r="C61">
        <f>((merged!D62/merged!D61-1)*100)/100</f>
        <v>1.3012068552759493E-2</v>
      </c>
      <c r="D61">
        <v>4.2699999999999996</v>
      </c>
      <c r="E61">
        <v>0.9</v>
      </c>
      <c r="F61">
        <v>0.94</v>
      </c>
    </row>
    <row r="62" spans="1:6" x14ac:dyDescent="0.2">
      <c r="A62" s="1">
        <v>38016</v>
      </c>
      <c r="B62">
        <f>((_xlfn.XLOOKUP(A62,merged!A:A,merged!C:C))*100)/100</f>
        <v>2.3041939999999997E-2</v>
      </c>
      <c r="C62">
        <f>((merged!D63/merged!D62-1)*100)/100</f>
        <v>1.0766664349760147E-2</v>
      </c>
      <c r="D62">
        <v>4.1500000000000004</v>
      </c>
      <c r="E62">
        <v>0.88</v>
      </c>
      <c r="F62">
        <v>1.03</v>
      </c>
    </row>
    <row r="63" spans="1:6" x14ac:dyDescent="0.2">
      <c r="A63" s="1">
        <v>38044</v>
      </c>
      <c r="B63">
        <f>((_xlfn.XLOOKUP(A63,merged!A:A,merged!C:C))*100)/100</f>
        <v>1.544306E-2</v>
      </c>
      <c r="C63">
        <f>((merged!D64/merged!D63-1)*100)/100</f>
        <v>1.1628466706551377E-2</v>
      </c>
      <c r="D63">
        <v>4.08</v>
      </c>
      <c r="E63">
        <v>0.93</v>
      </c>
      <c r="F63">
        <v>1.04</v>
      </c>
    </row>
    <row r="64" spans="1:6" x14ac:dyDescent="0.2">
      <c r="A64" s="1">
        <v>38077</v>
      </c>
      <c r="B64">
        <f>((_xlfn.XLOOKUP(A64,merged!A:A,merged!C:C))*100)/100</f>
        <v>-1.0661609999999998E-2</v>
      </c>
      <c r="C64">
        <f>((merged!D65/merged!D64-1)*100)/100</f>
        <v>1.0250832710216873E-2</v>
      </c>
      <c r="D64">
        <v>3.83</v>
      </c>
      <c r="E64">
        <v>0.94</v>
      </c>
      <c r="F64">
        <v>1.05</v>
      </c>
    </row>
    <row r="65" spans="1:6" x14ac:dyDescent="0.2">
      <c r="A65" s="1">
        <v>38107</v>
      </c>
      <c r="B65">
        <f>((_xlfn.XLOOKUP(A65,merged!A:A,merged!C:C))*100)/100</f>
        <v>-2.4221929999999999E-2</v>
      </c>
      <c r="C65">
        <f>((merged!D66/merged!D65-1)*100)/100</f>
        <v>-3.1072952132312426E-2</v>
      </c>
      <c r="D65">
        <v>4.3499999999999996</v>
      </c>
      <c r="E65">
        <v>0.94</v>
      </c>
      <c r="F65">
        <v>1.03</v>
      </c>
    </row>
    <row r="66" spans="1:6" x14ac:dyDescent="0.2">
      <c r="A66" s="1">
        <v>38135</v>
      </c>
      <c r="B66">
        <f>((_xlfn.XLOOKUP(A66,merged!A:A,merged!C:C))*100)/100</f>
        <v>1.406833E-2</v>
      </c>
      <c r="C66">
        <f>((merged!D67/merged!D66-1)*100)/100</f>
        <v>-7.0833333333333304E-3</v>
      </c>
      <c r="D66">
        <v>4.72</v>
      </c>
      <c r="E66">
        <v>1.02</v>
      </c>
      <c r="F66">
        <v>1.02</v>
      </c>
    </row>
    <row r="67" spans="1:6" x14ac:dyDescent="0.2">
      <c r="A67" s="1">
        <v>38168</v>
      </c>
      <c r="B67">
        <f>((_xlfn.XLOOKUP(A67,merged!A:A,merged!C:C))*100)/100</f>
        <v>2.1610919999999999E-2</v>
      </c>
      <c r="C67">
        <f>((merged!D68/merged!D67-1)*100)/100</f>
        <v>4.8608196950623572E-3</v>
      </c>
      <c r="D67">
        <v>4.7300000000000004</v>
      </c>
      <c r="E67">
        <v>1.27</v>
      </c>
      <c r="F67">
        <v>1.38</v>
      </c>
    </row>
    <row r="68" spans="1:6" x14ac:dyDescent="0.2">
      <c r="A68" s="1">
        <v>38198</v>
      </c>
      <c r="B68">
        <f>((_xlfn.XLOOKUP(A68,merged!A:A,merged!C:C))*100)/100</f>
        <v>-3.7697670000000003E-2</v>
      </c>
      <c r="C68">
        <f>((merged!D69/merged!D68-1)*100)/100</f>
        <v>1.2082825822167909E-2</v>
      </c>
      <c r="D68">
        <v>4.5</v>
      </c>
      <c r="E68">
        <v>1.33</v>
      </c>
      <c r="F68">
        <v>1.29</v>
      </c>
    </row>
    <row r="69" spans="1:6" x14ac:dyDescent="0.2">
      <c r="A69" s="1">
        <v>38230</v>
      </c>
      <c r="B69">
        <f>((_xlfn.XLOOKUP(A69,merged!A:A,merged!C:C))*100)/100</f>
        <v>2.7028830000000005E-3</v>
      </c>
      <c r="C69">
        <f>((merged!D70/merged!D69-1)*100)/100</f>
        <v>2.3450770574440893E-2</v>
      </c>
      <c r="D69">
        <v>4.28</v>
      </c>
      <c r="E69">
        <v>1.48</v>
      </c>
      <c r="F69">
        <v>1.55</v>
      </c>
    </row>
    <row r="70" spans="1:6" x14ac:dyDescent="0.2">
      <c r="A70" s="1">
        <v>38260</v>
      </c>
      <c r="B70">
        <f>((_xlfn.XLOOKUP(A70,merged!A:A,merged!C:C))*100)/100</f>
        <v>2.055616E-2</v>
      </c>
      <c r="C70">
        <f>((merged!D71/merged!D70-1)*100)/100</f>
        <v>5.2277568353928938E-3</v>
      </c>
      <c r="D70">
        <v>4.13</v>
      </c>
      <c r="E70">
        <v>1.65</v>
      </c>
      <c r="F70">
        <v>1.94</v>
      </c>
    </row>
    <row r="71" spans="1:6" x14ac:dyDescent="0.2">
      <c r="A71" s="1">
        <v>38289</v>
      </c>
      <c r="B71">
        <f>((_xlfn.XLOOKUP(A71,merged!A:A,merged!C:C))*100)/100</f>
        <v>1.780559E-2</v>
      </c>
      <c r="C71">
        <f>((merged!D72/merged!D71-1)*100)/100</f>
        <v>1.0107019431947917E-2</v>
      </c>
      <c r="D71">
        <v>4.0999999999999996</v>
      </c>
      <c r="E71">
        <v>1.76</v>
      </c>
      <c r="F71">
        <v>1.79</v>
      </c>
    </row>
    <row r="72" spans="1:6" x14ac:dyDescent="0.2">
      <c r="A72" s="1">
        <v>38321</v>
      </c>
      <c r="B72">
        <f>((_xlfn.XLOOKUP(A72,merged!A:A,merged!C:C))*100)/100</f>
        <v>4.8213790000000006E-2</v>
      </c>
      <c r="C72">
        <f>((merged!D73/merged!D72-1)*100)/100</f>
        <v>-1.039633117377281E-2</v>
      </c>
      <c r="D72">
        <v>4.1900000000000004</v>
      </c>
      <c r="E72">
        <v>2.0699999999999998</v>
      </c>
      <c r="F72">
        <v>2.02</v>
      </c>
    </row>
    <row r="73" spans="1:6" x14ac:dyDescent="0.2">
      <c r="A73" s="1">
        <v>38352</v>
      </c>
      <c r="B73">
        <f>((_xlfn.XLOOKUP(A73,merged!A:A,merged!C:C))*100)/100</f>
        <v>3.5169720000000002E-2</v>
      </c>
      <c r="C73">
        <f>((merged!D74/merged!D73-1)*100)/100</f>
        <v>1.4176808880566938E-2</v>
      </c>
      <c r="D73">
        <v>4.2300000000000004</v>
      </c>
      <c r="E73">
        <v>2.19</v>
      </c>
      <c r="F73">
        <v>1.97</v>
      </c>
    </row>
    <row r="74" spans="1:6" x14ac:dyDescent="0.2">
      <c r="A74" s="1">
        <v>38383</v>
      </c>
      <c r="B74">
        <f>((_xlfn.XLOOKUP(A74,merged!A:A,merged!C:C))*100)/100</f>
        <v>-2.6545890000000003E-2</v>
      </c>
      <c r="C74">
        <f>((merged!D75/merged!D74-1)*100)/100</f>
        <v>8.0904655149676152E-3</v>
      </c>
      <c r="D74">
        <v>4.22</v>
      </c>
      <c r="E74">
        <v>2.33</v>
      </c>
      <c r="F74">
        <v>2.5</v>
      </c>
    </row>
    <row r="75" spans="1:6" x14ac:dyDescent="0.2">
      <c r="A75" s="1">
        <v>38411</v>
      </c>
      <c r="B75">
        <f>((_xlfn.XLOOKUP(A75,merged!A:A,merged!C:C))*100)/100</f>
        <v>2.2646099999999999E-2</v>
      </c>
      <c r="C75">
        <f>((merged!D76/merged!D75-1)*100)/100</f>
        <v>-6.4361260277198129E-3</v>
      </c>
      <c r="D75">
        <v>4.17</v>
      </c>
      <c r="E75">
        <v>2.54</v>
      </c>
      <c r="F75">
        <v>2.52</v>
      </c>
    </row>
    <row r="76" spans="1:6" x14ac:dyDescent="0.2">
      <c r="A76" s="1">
        <v>38442</v>
      </c>
      <c r="B76">
        <f>((_xlfn.XLOOKUP(A76,merged!A:A,merged!C:C))*100)/100</f>
        <v>-1.6943639999999999E-2</v>
      </c>
      <c r="C76">
        <f>((merged!D77/merged!D76-1)*100)/100</f>
        <v>-1.0770030874966197E-2</v>
      </c>
      <c r="D76">
        <v>4.5</v>
      </c>
      <c r="E76">
        <v>2.74</v>
      </c>
      <c r="F76">
        <v>2.96</v>
      </c>
    </row>
    <row r="77" spans="1:6" x14ac:dyDescent="0.2">
      <c r="A77" s="1">
        <v>38471</v>
      </c>
      <c r="B77">
        <f>((_xlfn.XLOOKUP(A77,merged!A:A,merged!C:C))*100)/100</f>
        <v>-2.5206300000000001E-2</v>
      </c>
      <c r="C77">
        <f>((merged!D78/merged!D77-1)*100)/100</f>
        <v>1.391523088901736E-2</v>
      </c>
      <c r="D77">
        <v>4.34</v>
      </c>
      <c r="E77">
        <v>2.78</v>
      </c>
      <c r="F77">
        <v>2.97</v>
      </c>
    </row>
    <row r="78" spans="1:6" x14ac:dyDescent="0.2">
      <c r="A78" s="1">
        <v>38503</v>
      </c>
      <c r="B78">
        <f>((_xlfn.XLOOKUP(A78,merged!A:A,merged!C:C))*100)/100</f>
        <v>3.7954000000000002E-2</v>
      </c>
      <c r="C78">
        <f>((merged!D79/merged!D78-1)*100)/100</f>
        <v>1.232623163864055E-2</v>
      </c>
      <c r="D78">
        <v>4.1399999999999997</v>
      </c>
      <c r="E78">
        <v>2.84</v>
      </c>
      <c r="F78">
        <v>3.09</v>
      </c>
    </row>
    <row r="79" spans="1:6" x14ac:dyDescent="0.2">
      <c r="A79" s="1">
        <v>38533</v>
      </c>
      <c r="B79">
        <f>((_xlfn.XLOOKUP(A79,merged!A:A,merged!C:C))*100)/100</f>
        <v>1.1528989999999999E-2</v>
      </c>
      <c r="C79">
        <f>((merged!D80/merged!D79-1)*100)/100</f>
        <v>8.0590782955989315E-3</v>
      </c>
      <c r="D79">
        <v>4</v>
      </c>
      <c r="E79">
        <v>2.97</v>
      </c>
      <c r="F79">
        <v>3.35</v>
      </c>
    </row>
    <row r="80" spans="1:6" x14ac:dyDescent="0.2">
      <c r="A80" s="1">
        <v>38562</v>
      </c>
      <c r="B80">
        <f>((_xlfn.XLOOKUP(A80,merged!A:A,merged!C:C))*100)/100</f>
        <v>4.3357470000000002E-2</v>
      </c>
      <c r="C80">
        <f>((merged!D81/merged!D80-1)*100)/100</f>
        <v>-1.0355096186623225E-2</v>
      </c>
      <c r="D80">
        <v>4.18</v>
      </c>
      <c r="E80">
        <v>3.22</v>
      </c>
      <c r="F80">
        <v>3.31</v>
      </c>
    </row>
    <row r="81" spans="1:6" x14ac:dyDescent="0.2">
      <c r="A81" s="1">
        <v>38595</v>
      </c>
      <c r="B81">
        <f>((_xlfn.XLOOKUP(A81,merged!A:A,merged!C:C))*100)/100</f>
        <v>-5.9582930000000008E-3</v>
      </c>
      <c r="C81">
        <f>((merged!D82/merged!D81-1)*100)/100</f>
        <v>1.629308047754896E-2</v>
      </c>
      <c r="D81">
        <v>4.26</v>
      </c>
      <c r="E81">
        <v>3.44</v>
      </c>
      <c r="F81">
        <v>3.63</v>
      </c>
    </row>
    <row r="82" spans="1:6" x14ac:dyDescent="0.2">
      <c r="A82" s="1">
        <v>38625</v>
      </c>
      <c r="B82">
        <f>((_xlfn.XLOOKUP(A82,merged!A:A,merged!C:C))*100)/100</f>
        <v>1.059976E-2</v>
      </c>
      <c r="C82">
        <f>((merged!D83/merged!D82-1)*100)/100</f>
        <v>-1.5820842072952424E-2</v>
      </c>
      <c r="D82">
        <v>4.2</v>
      </c>
      <c r="E82">
        <v>3.42</v>
      </c>
      <c r="F82">
        <v>3.93</v>
      </c>
    </row>
    <row r="83" spans="1:6" x14ac:dyDescent="0.2">
      <c r="A83" s="1">
        <v>38656</v>
      </c>
      <c r="B83">
        <f>((_xlfn.XLOOKUP(A83,merged!A:A,merged!C:C))*100)/100</f>
        <v>-2.0865580000000002E-2</v>
      </c>
      <c r="C83">
        <f>((merged!D84/merged!D83-1)*100)/100</f>
        <v>-1.0285766266845076E-2</v>
      </c>
      <c r="D83">
        <v>4.46</v>
      </c>
      <c r="E83">
        <v>3.71</v>
      </c>
      <c r="F83">
        <v>4.0199999999999996</v>
      </c>
    </row>
    <row r="84" spans="1:6" x14ac:dyDescent="0.2">
      <c r="A84" s="1">
        <v>38686</v>
      </c>
      <c r="B84">
        <f>((_xlfn.XLOOKUP(A84,merged!A:A,merged!C:C))*100)/100</f>
        <v>4.0326359999999999E-2</v>
      </c>
      <c r="C84">
        <f>((merged!D85/merged!D84-1)*100)/100</f>
        <v>5.3637431968434068E-3</v>
      </c>
      <c r="D84">
        <v>4.54</v>
      </c>
      <c r="E84">
        <v>3.88</v>
      </c>
      <c r="F84">
        <v>4.03</v>
      </c>
    </row>
    <row r="85" spans="1:6" x14ac:dyDescent="0.2">
      <c r="A85" s="1">
        <v>38716</v>
      </c>
      <c r="B85">
        <f>((_xlfn.XLOOKUP(A85,merged!A:A,merged!C:C))*100)/100</f>
        <v>3.4576280000000004E-3</v>
      </c>
      <c r="C85">
        <f>((merged!D86/merged!D85-1)*100)/100</f>
        <v>9.8931668582176169E-3</v>
      </c>
      <c r="D85">
        <v>4.47</v>
      </c>
      <c r="E85">
        <v>3.89</v>
      </c>
      <c r="F85">
        <v>4.09</v>
      </c>
    </row>
    <row r="86" spans="1:6" x14ac:dyDescent="0.2">
      <c r="A86" s="1">
        <v>38748</v>
      </c>
      <c r="B86">
        <f>((_xlfn.XLOOKUP(A86,merged!A:A,merged!C:C))*100)/100</f>
        <v>4.0071890000000006E-2</v>
      </c>
      <c r="C86">
        <f>((merged!D87/merged!D86-1)*100)/100</f>
        <v>-2.1015059715100426E-3</v>
      </c>
      <c r="D86">
        <v>4.42</v>
      </c>
      <c r="E86">
        <v>4.24</v>
      </c>
      <c r="F86">
        <v>4.47</v>
      </c>
    </row>
    <row r="87" spans="1:6" x14ac:dyDescent="0.2">
      <c r="A87" s="1">
        <v>38776</v>
      </c>
      <c r="B87">
        <f>((_xlfn.XLOOKUP(A87,merged!A:A,merged!C:C))*100)/100</f>
        <v>-1.6388280000000002E-3</v>
      </c>
      <c r="C87">
        <f>((merged!D88/merged!D87-1)*100)/100</f>
        <v>3.9785907753717709E-3</v>
      </c>
      <c r="D87">
        <v>4.57</v>
      </c>
      <c r="E87">
        <v>4.43</v>
      </c>
      <c r="F87">
        <v>4.5199999999999996</v>
      </c>
    </row>
    <row r="88" spans="1:6" x14ac:dyDescent="0.2">
      <c r="A88" s="1">
        <v>38807</v>
      </c>
      <c r="B88">
        <f>((_xlfn.XLOOKUP(A88,merged!A:A,merged!C:C))*100)/100</f>
        <v>1.906455E-2</v>
      </c>
      <c r="C88">
        <f>((merged!D89/merged!D88-1)*100)/100</f>
        <v>-1.2598425196850394E-2</v>
      </c>
      <c r="D88">
        <v>4.72</v>
      </c>
      <c r="E88">
        <v>4.51</v>
      </c>
      <c r="F88">
        <v>5</v>
      </c>
    </row>
    <row r="89" spans="1:6" x14ac:dyDescent="0.2">
      <c r="A89" s="1">
        <v>38835</v>
      </c>
      <c r="B89">
        <f>((_xlfn.XLOOKUP(A89,merged!A:A,merged!C:C))*100)/100</f>
        <v>1.3000040000000001E-2</v>
      </c>
      <c r="C89">
        <f>((merged!D90/merged!D89-1)*100)/100</f>
        <v>-3.9741679085942838E-3</v>
      </c>
      <c r="D89">
        <v>4.99</v>
      </c>
      <c r="E89">
        <v>4.5999999999999996</v>
      </c>
      <c r="F89">
        <v>4.8600000000000003</v>
      </c>
    </row>
    <row r="90" spans="1:6" x14ac:dyDescent="0.2">
      <c r="A90" s="1">
        <v>38868</v>
      </c>
      <c r="B90">
        <f>((_xlfn.XLOOKUP(A90,merged!A:A,merged!C:C))*100)/100</f>
        <v>-3.1031969999999999E-2</v>
      </c>
      <c r="C90">
        <f>((merged!D91/merged!D90-1)*100)/100</f>
        <v>-8.0063000393759687E-4</v>
      </c>
      <c r="D90">
        <v>5.1100000000000003</v>
      </c>
      <c r="E90">
        <v>4.72</v>
      </c>
      <c r="F90">
        <v>5.05</v>
      </c>
    </row>
    <row r="91" spans="1:6" x14ac:dyDescent="0.2">
      <c r="A91" s="1">
        <v>38898</v>
      </c>
      <c r="B91">
        <f>((_xlfn.XLOOKUP(A91,merged!A:A,merged!C:C))*100)/100</f>
        <v>-3.905499E-4</v>
      </c>
      <c r="C91">
        <f>((merged!D92/merged!D91-1)*100)/100</f>
        <v>7.487291308174715E-4</v>
      </c>
      <c r="D91">
        <v>5.1100000000000003</v>
      </c>
      <c r="E91">
        <v>4.79</v>
      </c>
      <c r="F91">
        <v>5.05</v>
      </c>
    </row>
    <row r="92" spans="1:6" x14ac:dyDescent="0.2">
      <c r="A92" s="1">
        <v>38929</v>
      </c>
      <c r="B92">
        <f>((_xlfn.XLOOKUP(A92,merged!A:A,merged!C:C))*100)/100</f>
        <v>-1.9115480000000001E-3</v>
      </c>
      <c r="C92">
        <f>((merged!D93/merged!D92-1)*100)/100</f>
        <v>1.4818995615992314E-2</v>
      </c>
      <c r="D92">
        <v>5.09</v>
      </c>
      <c r="E92">
        <v>4.95</v>
      </c>
      <c r="F92">
        <v>5.31</v>
      </c>
    </row>
    <row r="93" spans="1:6" x14ac:dyDescent="0.2">
      <c r="A93" s="1">
        <v>38960</v>
      </c>
      <c r="B93">
        <f>((_xlfn.XLOOKUP(A93,merged!A:A,merged!C:C))*100)/100</f>
        <v>2.5041460000000001E-2</v>
      </c>
      <c r="C93">
        <f>((merged!D94/merged!D93-1)*100)/100</f>
        <v>1.8709176744486911E-2</v>
      </c>
      <c r="D93">
        <v>4.88</v>
      </c>
      <c r="E93">
        <v>4.96</v>
      </c>
      <c r="F93">
        <v>5.31</v>
      </c>
    </row>
    <row r="94" spans="1:6" x14ac:dyDescent="0.2">
      <c r="A94" s="1">
        <v>38989</v>
      </c>
      <c r="B94">
        <f>((_xlfn.XLOOKUP(A94,merged!A:A,merged!C:C))*100)/100</f>
        <v>1.942518E-2</v>
      </c>
      <c r="C94">
        <f>((merged!D95/merged!D94-1)*100)/100</f>
        <v>1.0861905880411138E-2</v>
      </c>
      <c r="D94">
        <v>4.72</v>
      </c>
      <c r="E94">
        <v>4.8099999999999996</v>
      </c>
      <c r="F94">
        <v>5.34</v>
      </c>
    </row>
    <row r="95" spans="1:6" x14ac:dyDescent="0.2">
      <c r="A95" s="1">
        <v>39021</v>
      </c>
      <c r="B95">
        <f>((_xlfn.XLOOKUP(A95,merged!A:A,merged!C:C))*100)/100</f>
        <v>3.715301E-2</v>
      </c>
      <c r="C95">
        <f>((merged!D96/merged!D95-1)*100)/100</f>
        <v>8.6225303641183082E-3</v>
      </c>
      <c r="D95">
        <v>4.7300000000000004</v>
      </c>
      <c r="E95">
        <v>4.92</v>
      </c>
      <c r="F95">
        <v>5.31</v>
      </c>
    </row>
    <row r="96" spans="1:6" x14ac:dyDescent="0.2">
      <c r="A96" s="1">
        <v>39051</v>
      </c>
      <c r="B96">
        <f>((_xlfn.XLOOKUP(A96,merged!A:A,merged!C:C))*100)/100</f>
        <v>2.3736480000000001E-2</v>
      </c>
      <c r="C96">
        <f>((merged!D97/merged!D96-1)*100)/100</f>
        <v>1.4165011487668577E-2</v>
      </c>
      <c r="D96">
        <v>4.5999999999999996</v>
      </c>
      <c r="E96">
        <v>4.9400000000000004</v>
      </c>
      <c r="F96">
        <v>5.31</v>
      </c>
    </row>
    <row r="97" spans="1:6" x14ac:dyDescent="0.2">
      <c r="A97" s="1">
        <v>39080</v>
      </c>
      <c r="B97">
        <f>((_xlfn.XLOOKUP(A97,merged!A:A,merged!C:C))*100)/100</f>
        <v>1.0856920000000001E-2</v>
      </c>
      <c r="C97">
        <f>((merged!D98/merged!D97-1)*100)/100</f>
        <v>-8.981962402229815E-3</v>
      </c>
      <c r="D97">
        <v>4.5599999999999996</v>
      </c>
      <c r="E97">
        <v>4.8499999999999996</v>
      </c>
      <c r="F97">
        <v>5.17</v>
      </c>
    </row>
    <row r="98" spans="1:6" x14ac:dyDescent="0.2">
      <c r="A98" s="1">
        <v>39113</v>
      </c>
      <c r="B98">
        <f>((_xlfn.XLOOKUP(A98,merged!A:A,merged!C:C))*100)/100</f>
        <v>1.9386799999999999E-2</v>
      </c>
      <c r="C98">
        <f>((merged!D99/merged!D98-1)*100)/100</f>
        <v>3.2833805190213283E-4</v>
      </c>
      <c r="D98">
        <v>4.76</v>
      </c>
      <c r="E98">
        <v>4.9800000000000004</v>
      </c>
      <c r="F98">
        <v>5.33</v>
      </c>
    </row>
    <row r="99" spans="1:6" x14ac:dyDescent="0.2">
      <c r="A99" s="1">
        <v>39141</v>
      </c>
      <c r="B99">
        <f>((_xlfn.XLOOKUP(A99,merged!A:A,merged!C:C))*100)/100</f>
        <v>-1.4006000000000001E-2</v>
      </c>
      <c r="C99">
        <f>((merged!D100/merged!D99-1)*100)/100</f>
        <v>2.0294540229885083E-2</v>
      </c>
      <c r="D99">
        <v>4.72</v>
      </c>
      <c r="E99">
        <v>5.03</v>
      </c>
      <c r="F99">
        <v>5.41</v>
      </c>
    </row>
    <row r="100" spans="1:6" x14ac:dyDescent="0.2">
      <c r="A100" s="1">
        <v>39171</v>
      </c>
      <c r="B100">
        <f>((_xlfn.XLOOKUP(A100,merged!A:A,merged!C:C))*100)/100</f>
        <v>1.2953539999999999E-2</v>
      </c>
      <c r="C100">
        <f>((merged!D101/merged!D100-1)*100)/100</f>
        <v>-4.8740811780344506E-3</v>
      </c>
      <c r="D100">
        <v>4.5599999999999996</v>
      </c>
      <c r="E100">
        <v>4.9400000000000004</v>
      </c>
      <c r="F100">
        <v>5.3</v>
      </c>
    </row>
    <row r="101" spans="1:6" x14ac:dyDescent="0.2">
      <c r="A101" s="1">
        <v>39202</v>
      </c>
      <c r="B101">
        <f>((_xlfn.XLOOKUP(A101,merged!A:A,merged!C:C))*100)/100</f>
        <v>3.9833810000000004E-2</v>
      </c>
      <c r="C101">
        <f>((merged!D102/merged!D101-1)*100)/100</f>
        <v>7.3987776462980381E-3</v>
      </c>
      <c r="D101">
        <v>4.6900000000000004</v>
      </c>
      <c r="E101">
        <v>4.87</v>
      </c>
      <c r="F101">
        <v>5.29</v>
      </c>
    </row>
    <row r="102" spans="1:6" x14ac:dyDescent="0.2">
      <c r="A102" s="1">
        <v>39233</v>
      </c>
      <c r="B102">
        <f>((_xlfn.XLOOKUP(A102,merged!A:A,merged!C:C))*100)/100</f>
        <v>3.8953359999999999E-2</v>
      </c>
      <c r="C102">
        <f>((merged!D103/merged!D102-1)*100)/100</f>
        <v>-9.8995513414346092E-3</v>
      </c>
      <c r="D102">
        <v>4.75</v>
      </c>
      <c r="E102">
        <v>4.7300000000000004</v>
      </c>
      <c r="F102">
        <v>5.28</v>
      </c>
    </row>
    <row r="103" spans="1:6" x14ac:dyDescent="0.2">
      <c r="A103" s="1">
        <v>39262</v>
      </c>
      <c r="B103">
        <f>((_xlfn.XLOOKUP(A103,merged!A:A,merged!C:C))*100)/100</f>
        <v>-1.4747E-2</v>
      </c>
      <c r="C103">
        <f>((merged!D104/merged!D103-1)*100)/100</f>
        <v>-4.8066338886034732E-3</v>
      </c>
      <c r="D103">
        <v>5.0999999999999996</v>
      </c>
      <c r="E103">
        <v>4.6100000000000003</v>
      </c>
      <c r="F103">
        <v>5.31</v>
      </c>
    </row>
    <row r="104" spans="1:6" x14ac:dyDescent="0.2">
      <c r="A104" s="1">
        <v>39294</v>
      </c>
      <c r="B104">
        <f>((_xlfn.XLOOKUP(A104,merged!A:A,merged!C:C))*100)/100</f>
        <v>-3.1789570000000003E-2</v>
      </c>
      <c r="C104">
        <f>((merged!D105/merged!D104-1)*100)/100</f>
        <v>2.8573535375879811E-3</v>
      </c>
      <c r="D104">
        <v>5</v>
      </c>
      <c r="E104">
        <v>4.82</v>
      </c>
      <c r="F104">
        <v>5.28</v>
      </c>
    </row>
    <row r="105" spans="1:6" x14ac:dyDescent="0.2">
      <c r="A105" s="1">
        <v>39325</v>
      </c>
      <c r="B105">
        <f>((_xlfn.XLOOKUP(A105,merged!A:A,merged!C:C))*100)/100</f>
        <v>1.1592789999999999E-2</v>
      </c>
      <c r="C105">
        <f>((merged!D106/merged!D105-1)*100)/100</f>
        <v>9.8466327212121119E-3</v>
      </c>
      <c r="D105">
        <v>4.67</v>
      </c>
      <c r="E105">
        <v>4.2</v>
      </c>
      <c r="F105">
        <v>4.96</v>
      </c>
    </row>
    <row r="106" spans="1:6" x14ac:dyDescent="0.2">
      <c r="A106" s="1">
        <v>39353</v>
      </c>
      <c r="B106">
        <f>((_xlfn.XLOOKUP(A106,merged!A:A,merged!C:C))*100)/100</f>
        <v>4.0822029999999995E-2</v>
      </c>
      <c r="C106">
        <f>((merged!D107/merged!D106-1)*100)/100</f>
        <v>5.6064559189370478E-3</v>
      </c>
      <c r="D106">
        <v>4.5199999999999996</v>
      </c>
      <c r="E106">
        <v>3.89</v>
      </c>
      <c r="F106">
        <v>4.58</v>
      </c>
    </row>
    <row r="107" spans="1:6" x14ac:dyDescent="0.2">
      <c r="A107" s="1">
        <v>39386</v>
      </c>
      <c r="B107">
        <f>((_xlfn.XLOOKUP(A107,merged!A:A,merged!C:C))*100)/100</f>
        <v>2.591044E-2</v>
      </c>
      <c r="C107">
        <f>((merged!D108/merged!D107-1)*100)/100</f>
        <v>1.0866810672523375E-2</v>
      </c>
      <c r="D107">
        <v>4.53</v>
      </c>
      <c r="E107">
        <v>3.9</v>
      </c>
      <c r="F107">
        <v>4.5999999999999996</v>
      </c>
    </row>
    <row r="108" spans="1:6" x14ac:dyDescent="0.2">
      <c r="A108" s="1">
        <v>39416</v>
      </c>
      <c r="B108">
        <f>((_xlfn.XLOOKUP(A108,merged!A:A,merged!C:C))*100)/100</f>
        <v>-4.9361849999999999E-2</v>
      </c>
      <c r="C108">
        <f>((merged!D109/merged!D108-1)*100)/100</f>
        <v>8.7921926761571623E-3</v>
      </c>
      <c r="D108">
        <v>4.1500000000000004</v>
      </c>
      <c r="E108">
        <v>3.27</v>
      </c>
      <c r="F108">
        <v>4.66</v>
      </c>
    </row>
    <row r="109" spans="1:6" x14ac:dyDescent="0.2">
      <c r="A109" s="1">
        <v>39447</v>
      </c>
      <c r="B109">
        <f>((_xlfn.XLOOKUP(A109,merged!A:A,merged!C:C))*100)/100</f>
        <v>-4.4051970000000005E-3</v>
      </c>
      <c r="C109">
        <f>((merged!D110/merged!D109-1)*100)/100</f>
        <v>-5.5618668938739457E-4</v>
      </c>
      <c r="D109">
        <v>4.0999999999999996</v>
      </c>
      <c r="E109">
        <v>3</v>
      </c>
      <c r="F109">
        <v>3.06</v>
      </c>
    </row>
    <row r="110" spans="1:6" x14ac:dyDescent="0.2">
      <c r="A110" s="1">
        <v>39478</v>
      </c>
      <c r="B110">
        <f>((_xlfn.XLOOKUP(A110,merged!A:A,merged!C:C))*100)/100</f>
        <v>-6.2217720000000004E-2</v>
      </c>
      <c r="C110">
        <f>((merged!D111/merged!D110-1)*100)/100</f>
        <v>1.1816664101258478E-2</v>
      </c>
      <c r="D110">
        <v>3.74</v>
      </c>
      <c r="E110">
        <v>2.75</v>
      </c>
      <c r="F110">
        <v>3.22</v>
      </c>
    </row>
    <row r="111" spans="1:6" x14ac:dyDescent="0.2">
      <c r="A111" s="1">
        <v>39507</v>
      </c>
      <c r="B111">
        <f>((_xlfn.XLOOKUP(A111,merged!A:A,merged!C:C))*100)/100</f>
        <v>-2.1696880000000002E-2</v>
      </c>
      <c r="C111">
        <f>((merged!D112/merged!D111-1)*100)/100</f>
        <v>7.1967702299446934E-4</v>
      </c>
      <c r="D111">
        <v>3.74</v>
      </c>
      <c r="E111">
        <v>2.12</v>
      </c>
      <c r="F111">
        <v>3.01</v>
      </c>
    </row>
    <row r="112" spans="1:6" x14ac:dyDescent="0.2">
      <c r="A112" s="1">
        <v>39538</v>
      </c>
      <c r="B112">
        <f>((_xlfn.XLOOKUP(A112,merged!A:A,merged!C:C))*100)/100</f>
        <v>-1.044433E-2</v>
      </c>
      <c r="C112">
        <f>((merged!D113/merged!D112-1)*100)/100</f>
        <v>-1.3272292481567805E-2</v>
      </c>
      <c r="D112">
        <v>3.51</v>
      </c>
      <c r="E112">
        <v>1.26</v>
      </c>
      <c r="F112">
        <v>2.5099999999999998</v>
      </c>
    </row>
    <row r="113" spans="1:6" x14ac:dyDescent="0.2">
      <c r="A113" s="1">
        <v>39568</v>
      </c>
      <c r="B113">
        <f>((_xlfn.XLOOKUP(A113,merged!A:A,merged!C:C))*100)/100</f>
        <v>5.1198920000000002E-2</v>
      </c>
      <c r="C113">
        <f>((merged!D114/merged!D113-1)*100)/100</f>
        <v>5.7240034841758991E-3</v>
      </c>
      <c r="D113">
        <v>3.68</v>
      </c>
      <c r="E113">
        <v>1.29</v>
      </c>
      <c r="F113">
        <v>2.37</v>
      </c>
    </row>
    <row r="114" spans="1:6" x14ac:dyDescent="0.2">
      <c r="A114" s="1">
        <v>39598</v>
      </c>
      <c r="B114">
        <f>((_xlfn.XLOOKUP(A114,merged!A:A,merged!C:C))*100)/100</f>
        <v>2.3934770000000005E-2</v>
      </c>
      <c r="C114">
        <f>((merged!D115/merged!D114-1)*100)/100</f>
        <v>-9.1027461423799361E-3</v>
      </c>
      <c r="D114">
        <v>3.88</v>
      </c>
      <c r="E114">
        <v>1.73</v>
      </c>
      <c r="F114">
        <v>1.98</v>
      </c>
    </row>
    <row r="115" spans="1:6" x14ac:dyDescent="0.2">
      <c r="A115" s="1">
        <v>39629</v>
      </c>
      <c r="B115">
        <f>((_xlfn.XLOOKUP(A115,merged!A:A,merged!C:C))*100)/100</f>
        <v>-7.8435779999999997E-2</v>
      </c>
      <c r="C115">
        <f>((merged!D116/merged!D115-1)*100)/100</f>
        <v>-3.8350853826759623E-3</v>
      </c>
      <c r="D115">
        <v>4.0999999999999996</v>
      </c>
      <c r="E115">
        <v>1.86</v>
      </c>
      <c r="F115">
        <v>2.4700000000000002</v>
      </c>
    </row>
    <row r="116" spans="1:6" x14ac:dyDescent="0.2">
      <c r="A116" s="1">
        <v>39660</v>
      </c>
      <c r="B116">
        <f>((_xlfn.XLOOKUP(A116,merged!A:A,merged!C:C))*100)/100</f>
        <v>-1.3412810000000002E-2</v>
      </c>
      <c r="C116">
        <f>((merged!D117/merged!D116-1)*100)/100</f>
        <v>-8.6129199768412157E-3</v>
      </c>
      <c r="D116">
        <v>4.01</v>
      </c>
      <c r="E116">
        <v>1.63</v>
      </c>
      <c r="F116">
        <v>2.09</v>
      </c>
    </row>
    <row r="117" spans="1:6" x14ac:dyDescent="0.2">
      <c r="A117" s="1">
        <v>39689</v>
      </c>
      <c r="B117">
        <f>((_xlfn.XLOOKUP(A117,merged!A:A,merged!C:C))*100)/100</f>
        <v>1.059704E-2</v>
      </c>
      <c r="C117">
        <f>((merged!D118/merged!D117-1)*100)/100</f>
        <v>7.0200366053365659E-3</v>
      </c>
      <c r="D117">
        <v>3.89</v>
      </c>
      <c r="E117">
        <v>1.72</v>
      </c>
      <c r="F117">
        <v>1.94</v>
      </c>
    </row>
    <row r="118" spans="1:6" x14ac:dyDescent="0.2">
      <c r="A118" s="1">
        <v>39721</v>
      </c>
      <c r="B118">
        <f>((_xlfn.XLOOKUP(A118,merged!A:A,merged!C:C))*100)/100</f>
        <v>-9.8171640000000004E-2</v>
      </c>
      <c r="C118">
        <f>((merged!D119/merged!D118-1)*100)/100</f>
        <v>-7.3375901280625433E-2</v>
      </c>
      <c r="D118">
        <v>3.69</v>
      </c>
      <c r="E118">
        <v>1.1299999999999999</v>
      </c>
      <c r="F118">
        <v>2.0299999999999998</v>
      </c>
    </row>
    <row r="119" spans="1:6" x14ac:dyDescent="0.2">
      <c r="A119" s="1">
        <v>39752</v>
      </c>
      <c r="B119">
        <f>((_xlfn.XLOOKUP(A119,merged!A:A,merged!C:C))*100)/100</f>
        <v>-0.18483329999999998</v>
      </c>
      <c r="C119">
        <f>((merged!D120/merged!D119-1)*100)/100</f>
        <v>-7.3811689861861263E-2</v>
      </c>
      <c r="D119">
        <v>3.81</v>
      </c>
      <c r="E119">
        <v>0.67</v>
      </c>
      <c r="F119">
        <v>0.22</v>
      </c>
    </row>
    <row r="120" spans="1:6" x14ac:dyDescent="0.2">
      <c r="A120" s="1">
        <v>39780</v>
      </c>
      <c r="B120">
        <f>((_xlfn.XLOOKUP(A120,merged!A:A,merged!C:C))*100)/100</f>
        <v>-8.4680829999999999E-2</v>
      </c>
      <c r="C120">
        <f>((merged!D121/merged!D120-1)*100)/100</f>
        <v>3.8781182732028796E-2</v>
      </c>
      <c r="D120">
        <v>3.53</v>
      </c>
      <c r="E120">
        <v>0.19</v>
      </c>
      <c r="F120">
        <v>0.52</v>
      </c>
    </row>
    <row r="121" spans="1:6" x14ac:dyDescent="0.2">
      <c r="A121" s="1">
        <v>39813</v>
      </c>
      <c r="B121">
        <f>((_xlfn.XLOOKUP(A121,merged!A:A,merged!C:C))*100)/100</f>
        <v>2.223232E-2</v>
      </c>
      <c r="C121">
        <f>((merged!D122/merged!D121-1)*100)/100</f>
        <v>5.5540652914509492E-2</v>
      </c>
      <c r="D121">
        <v>2.42</v>
      </c>
      <c r="E121">
        <v>0.03</v>
      </c>
      <c r="F121">
        <v>0.14000000000000001</v>
      </c>
    </row>
    <row r="122" spans="1:6" x14ac:dyDescent="0.2">
      <c r="A122" s="1">
        <v>39843</v>
      </c>
      <c r="B122">
        <f>((_xlfn.XLOOKUP(A122,merged!A:A,merged!C:C))*100)/100</f>
        <v>-7.7470659999999997E-2</v>
      </c>
      <c r="C122">
        <f>((merged!D123/merged!D122-1)*100)/100</f>
        <v>3.3291401415520561E-3</v>
      </c>
      <c r="D122">
        <v>2.52</v>
      </c>
      <c r="E122">
        <v>0.13</v>
      </c>
      <c r="F122">
        <v>0.23</v>
      </c>
    </row>
    <row r="123" spans="1:6" x14ac:dyDescent="0.2">
      <c r="A123" s="1">
        <v>39871</v>
      </c>
      <c r="B123">
        <f>((_xlfn.XLOOKUP(A123,merged!A:A,merged!C:C))*100)/100</f>
        <v>-0.1001658</v>
      </c>
      <c r="C123">
        <f>((merged!D124/merged!D123-1)*100)/100</f>
        <v>-1.5577310317751891E-2</v>
      </c>
      <c r="D123">
        <v>2.87</v>
      </c>
      <c r="E123">
        <v>0.3</v>
      </c>
      <c r="F123">
        <v>0.22</v>
      </c>
    </row>
    <row r="124" spans="1:6" x14ac:dyDescent="0.2">
      <c r="A124" s="1">
        <v>39903</v>
      </c>
      <c r="B124">
        <f>((_xlfn.XLOOKUP(A124,merged!A:A,merged!C:C))*100)/100</f>
        <v>8.6803369999999991E-2</v>
      </c>
      <c r="C124">
        <f>((merged!D125/merged!D124-1)*100)/100</f>
        <v>-2.0712457063460921E-3</v>
      </c>
      <c r="D124">
        <v>2.82</v>
      </c>
      <c r="E124">
        <v>0.21</v>
      </c>
      <c r="F124">
        <v>0.16</v>
      </c>
    </row>
    <row r="125" spans="1:6" x14ac:dyDescent="0.2">
      <c r="A125" s="1">
        <v>39933</v>
      </c>
      <c r="B125">
        <f>((_xlfn.XLOOKUP(A125,merged!A:A,merged!C:C))*100)/100</f>
        <v>0.10946629999999999</v>
      </c>
      <c r="C125">
        <f>((merged!D126/merged!D125-1)*100)/100</f>
        <v>3.0843109449529393E-2</v>
      </c>
      <c r="D125">
        <v>2.93</v>
      </c>
      <c r="E125">
        <v>0.16</v>
      </c>
      <c r="F125">
        <v>0.2</v>
      </c>
    </row>
    <row r="126" spans="1:6" x14ac:dyDescent="0.2">
      <c r="A126" s="1">
        <v>39962</v>
      </c>
      <c r="B126">
        <f>((_xlfn.XLOOKUP(A126,merged!A:A,merged!C:C))*100)/100</f>
        <v>6.7786780000000005E-2</v>
      </c>
      <c r="C126">
        <f>((merged!D127/merged!D126-1)*100)/100</f>
        <v>4.3345318117867793E-2</v>
      </c>
      <c r="D126">
        <v>3.29</v>
      </c>
      <c r="E126">
        <v>0.18</v>
      </c>
      <c r="F126">
        <v>0.19</v>
      </c>
    </row>
    <row r="127" spans="1:6" x14ac:dyDescent="0.2">
      <c r="A127" s="1">
        <v>39994</v>
      </c>
      <c r="B127">
        <f>((_xlfn.XLOOKUP(A127,merged!A:A,merged!C:C))*100)/100</f>
        <v>-3.018878E-3</v>
      </c>
      <c r="C127">
        <f>((merged!D128/merged!D127-1)*100)/100</f>
        <v>3.0355334208334028E-2</v>
      </c>
      <c r="D127">
        <v>3.72</v>
      </c>
      <c r="E127">
        <v>0.18</v>
      </c>
      <c r="F127">
        <v>0.22</v>
      </c>
    </row>
    <row r="128" spans="1:6" x14ac:dyDescent="0.2">
      <c r="A128" s="1">
        <v>40025</v>
      </c>
      <c r="B128">
        <f>((_xlfn.XLOOKUP(A128,merged!A:A,merged!C:C))*100)/100</f>
        <v>8.1779439999999995E-2</v>
      </c>
      <c r="C128">
        <f>((merged!D129/merged!D128-1)*100)/100</f>
        <v>3.9477204778911368E-2</v>
      </c>
      <c r="D128">
        <v>3.56</v>
      </c>
      <c r="E128">
        <v>0.18</v>
      </c>
      <c r="F128">
        <v>0.18</v>
      </c>
    </row>
    <row r="129" spans="1:6" x14ac:dyDescent="0.2">
      <c r="A129" s="1">
        <v>40056</v>
      </c>
      <c r="B129">
        <f>((_xlfn.XLOOKUP(A129,merged!A:A,merged!C:C))*100)/100</f>
        <v>3.1510219999999999E-2</v>
      </c>
      <c r="C129">
        <f>((merged!D130/merged!D129-1)*100)/100</f>
        <v>2.1627338298574772E-2</v>
      </c>
      <c r="D129">
        <v>3.59</v>
      </c>
      <c r="E129">
        <v>0.17</v>
      </c>
      <c r="F129">
        <v>0.15</v>
      </c>
    </row>
    <row r="130" spans="1:6" x14ac:dyDescent="0.2">
      <c r="A130" s="1">
        <v>40086</v>
      </c>
      <c r="B130">
        <f>((_xlfn.XLOOKUP(A130,merged!A:A,merged!C:C))*100)/100</f>
        <v>4.5280849999999997E-2</v>
      </c>
      <c r="C130">
        <f>((merged!D131/merged!D130-1)*100)/100</f>
        <v>2.0030234315948636E-2</v>
      </c>
      <c r="D130">
        <v>3.4</v>
      </c>
      <c r="E130">
        <v>0.12</v>
      </c>
      <c r="F130">
        <v>7.0000000000000007E-2</v>
      </c>
    </row>
    <row r="131" spans="1:6" x14ac:dyDescent="0.2">
      <c r="A131" s="1">
        <v>40116</v>
      </c>
      <c r="B131">
        <f>((_xlfn.XLOOKUP(A131,merged!A:A,merged!C:C))*100)/100</f>
        <v>-2.8071600000000002E-2</v>
      </c>
      <c r="C131">
        <f>((merged!D132/merged!D131-1)*100)/100</f>
        <v>8.1672761248128278E-3</v>
      </c>
      <c r="D131">
        <v>3.39</v>
      </c>
      <c r="E131">
        <v>7.0000000000000007E-2</v>
      </c>
      <c r="F131">
        <v>0.11</v>
      </c>
    </row>
    <row r="132" spans="1:6" x14ac:dyDescent="0.2">
      <c r="A132" s="1">
        <v>40147</v>
      </c>
      <c r="B132">
        <f>((_xlfn.XLOOKUP(A132,merged!A:A,merged!C:C))*100)/100</f>
        <v>5.7074550000000002E-2</v>
      </c>
      <c r="C132">
        <f>((merged!D133/merged!D132-1)*100)/100</f>
        <v>1.4151646853295841E-2</v>
      </c>
      <c r="D132">
        <v>3.4</v>
      </c>
      <c r="E132">
        <v>0.05</v>
      </c>
      <c r="F132">
        <v>0.13</v>
      </c>
    </row>
    <row r="133" spans="1:6" x14ac:dyDescent="0.2">
      <c r="A133" s="1">
        <v>40178</v>
      </c>
      <c r="B133">
        <f>((_xlfn.XLOOKUP(A133,merged!A:A,merged!C:C))*100)/100</f>
        <v>2.8474869999999999E-2</v>
      </c>
      <c r="C133">
        <f>((merged!D134/merged!D133-1)*100)/100</f>
        <v>-1.0025786596221775E-2</v>
      </c>
      <c r="D133">
        <v>3.59</v>
      </c>
      <c r="E133">
        <v>0.05</v>
      </c>
      <c r="F133">
        <v>0.05</v>
      </c>
    </row>
    <row r="134" spans="1:6" x14ac:dyDescent="0.2">
      <c r="A134" s="1">
        <v>40207</v>
      </c>
      <c r="B134">
        <f>((_xlfn.XLOOKUP(A134,merged!A:A,merged!C:C))*100)/100</f>
        <v>-3.7171940000000001E-2</v>
      </c>
      <c r="C134">
        <f>((merged!D135/merged!D134-1)*100)/100</f>
        <v>2.0084880636604741E-2</v>
      </c>
      <c r="D134">
        <v>3.73</v>
      </c>
      <c r="E134">
        <v>0.06</v>
      </c>
      <c r="F134">
        <v>0.12</v>
      </c>
    </row>
    <row r="135" spans="1:6" x14ac:dyDescent="0.2">
      <c r="A135" s="1">
        <v>40235</v>
      </c>
      <c r="B135">
        <f>((_xlfn.XLOOKUP(A135,merged!A:A,merged!C:C))*100)/100</f>
        <v>3.4743690000000001E-2</v>
      </c>
      <c r="C135">
        <f>((merged!D136/merged!D135-1)*100)/100</f>
        <v>3.7496229574696116E-3</v>
      </c>
      <c r="D135">
        <v>3.69</v>
      </c>
      <c r="E135">
        <v>0.11</v>
      </c>
      <c r="F135">
        <v>0.13</v>
      </c>
    </row>
    <row r="136" spans="1:6" x14ac:dyDescent="0.2">
      <c r="A136" s="1">
        <v>40268</v>
      </c>
      <c r="B136">
        <f>((_xlfn.XLOOKUP(A136,merged!A:A,merged!C:C))*100)/100</f>
        <v>6.3668020000000006E-2</v>
      </c>
      <c r="C136">
        <f>((merged!D137/merged!D136-1)*100)/100</f>
        <v>3.4661955265871125E-3</v>
      </c>
      <c r="D136">
        <v>3.73</v>
      </c>
      <c r="E136">
        <v>0.15</v>
      </c>
      <c r="F136">
        <v>0.09</v>
      </c>
    </row>
    <row r="137" spans="1:6" x14ac:dyDescent="0.2">
      <c r="A137" s="1">
        <v>40298</v>
      </c>
      <c r="B137">
        <f>((_xlfn.XLOOKUP(A137,merged!A:A,merged!C:C))*100)/100</f>
        <v>2.0036239999999997E-2</v>
      </c>
      <c r="C137">
        <f>((merged!D138/merged!D137-1)*100)/100</f>
        <v>1.7580908321113586E-2</v>
      </c>
      <c r="D137">
        <v>3.85</v>
      </c>
      <c r="E137">
        <v>0.16</v>
      </c>
      <c r="F137">
        <v>0.2</v>
      </c>
    </row>
    <row r="138" spans="1:6" x14ac:dyDescent="0.2">
      <c r="A138" s="1">
        <v>40326</v>
      </c>
      <c r="B138">
        <f>((_xlfn.XLOOKUP(A138,merged!A:A,merged!C:C))*100)/100</f>
        <v>-7.9239760000000006E-2</v>
      </c>
      <c r="C138">
        <f>((merged!D139/merged!D138-1)*100)/100</f>
        <v>-5.7133868815359978E-3</v>
      </c>
      <c r="D138">
        <v>3.42</v>
      </c>
      <c r="E138">
        <v>0.16</v>
      </c>
      <c r="F138">
        <v>0.19</v>
      </c>
    </row>
    <row r="139" spans="1:6" x14ac:dyDescent="0.2">
      <c r="A139" s="1">
        <v>40359</v>
      </c>
      <c r="B139">
        <f>((_xlfn.XLOOKUP(A139,merged!A:A,merged!C:C))*100)/100</f>
        <v>-5.0779620000000004E-2</v>
      </c>
      <c r="C139">
        <f>((merged!D140/merged!D139-1)*100)/100</f>
        <v>2.0576152688117189E-2</v>
      </c>
      <c r="D139">
        <v>3.2</v>
      </c>
      <c r="E139">
        <v>0.12</v>
      </c>
      <c r="F139">
        <v>0.09</v>
      </c>
    </row>
    <row r="140" spans="1:6" x14ac:dyDescent="0.2">
      <c r="A140" s="1">
        <v>40389</v>
      </c>
      <c r="B140">
        <f>((_xlfn.XLOOKUP(A140,merged!A:A,merged!C:C))*100)/100</f>
        <v>7.0360000000000006E-2</v>
      </c>
      <c r="C140">
        <f>((merged!D141/merged!D140-1)*100)/100</f>
        <v>2.0466330311470271E-2</v>
      </c>
      <c r="D140">
        <v>3.01</v>
      </c>
      <c r="E140">
        <v>0.16</v>
      </c>
      <c r="F140">
        <v>0.18</v>
      </c>
    </row>
    <row r="141" spans="1:6" x14ac:dyDescent="0.2">
      <c r="A141" s="1">
        <v>40421</v>
      </c>
      <c r="B141">
        <f>((_xlfn.XLOOKUP(A141,merged!A:A,merged!C:C))*100)/100</f>
        <v>-4.2863369999999998E-2</v>
      </c>
      <c r="C141">
        <f>((merged!D142/merged!D141-1)*100)/100</f>
        <v>2.1888475107800787E-2</v>
      </c>
      <c r="D141">
        <v>2.7</v>
      </c>
      <c r="E141">
        <v>0.16</v>
      </c>
      <c r="F141">
        <v>0.21</v>
      </c>
    </row>
    <row r="142" spans="1:6" x14ac:dyDescent="0.2">
      <c r="A142" s="1">
        <v>40451</v>
      </c>
      <c r="B142">
        <f>((_xlfn.XLOOKUP(A142,merged!A:A,merged!C:C))*100)/100</f>
        <v>9.162758E-2</v>
      </c>
      <c r="C142">
        <f>((merged!D143/merged!D142-1)*100)/100</f>
        <v>5.9027461435554596E-3</v>
      </c>
      <c r="D142">
        <v>2.65</v>
      </c>
      <c r="E142">
        <v>0.15</v>
      </c>
      <c r="F142">
        <v>0.15</v>
      </c>
    </row>
    <row r="143" spans="1:6" x14ac:dyDescent="0.2">
      <c r="A143" s="1">
        <v>40480</v>
      </c>
      <c r="B143">
        <f>((_xlfn.XLOOKUP(A143,merged!A:A,merged!C:C))*100)/100</f>
        <v>3.8591359999999998E-2</v>
      </c>
      <c r="C143">
        <f>((merged!D144/merged!D143-1)*100)/100</f>
        <v>2.1022223493407655E-3</v>
      </c>
      <c r="D143">
        <v>2.54</v>
      </c>
      <c r="E143">
        <v>0.13</v>
      </c>
      <c r="F143">
        <v>0.2</v>
      </c>
    </row>
    <row r="144" spans="1:6" x14ac:dyDescent="0.2">
      <c r="A144" s="1">
        <v>40512</v>
      </c>
      <c r="B144">
        <f>((_xlfn.XLOOKUP(A144,merged!A:A,merged!C:C))*100)/100</f>
        <v>5.1166440000000001E-3</v>
      </c>
      <c r="C144">
        <f>((merged!D145/merged!D144-1)*100)/100</f>
        <v>-8.5529852201751133E-3</v>
      </c>
      <c r="D144">
        <v>2.76</v>
      </c>
      <c r="E144">
        <v>0.14000000000000001</v>
      </c>
      <c r="F144">
        <v>0.2</v>
      </c>
    </row>
    <row r="145" spans="1:6" x14ac:dyDescent="0.2">
      <c r="A145" s="1">
        <v>40543</v>
      </c>
      <c r="B145">
        <f>((_xlfn.XLOOKUP(A145,merged!A:A,merged!C:C))*100)/100</f>
        <v>6.7181740000000004E-2</v>
      </c>
      <c r="C145">
        <f>((merged!D146/merged!D145-1)*100)/100</f>
        <v>-9.4808104749521949E-3</v>
      </c>
      <c r="D145">
        <v>3.29</v>
      </c>
      <c r="E145">
        <v>0.14000000000000001</v>
      </c>
      <c r="F145">
        <v>0.13</v>
      </c>
    </row>
    <row r="146" spans="1:6" x14ac:dyDescent="0.2">
      <c r="A146" s="1">
        <v>40574</v>
      </c>
      <c r="B146">
        <f>((_xlfn.XLOOKUP(A146,merged!A:A,merged!C:C))*100)/100</f>
        <v>1.918334E-2</v>
      </c>
      <c r="C146">
        <f>((merged!D147/merged!D146-1)*100)/100</f>
        <v>2.3686696214488823E-3</v>
      </c>
      <c r="D146">
        <v>3.39</v>
      </c>
      <c r="E146">
        <v>0.15</v>
      </c>
      <c r="F146">
        <v>0.17</v>
      </c>
    </row>
    <row r="147" spans="1:6" x14ac:dyDescent="0.2">
      <c r="A147" s="1">
        <v>40602</v>
      </c>
      <c r="B147">
        <f>((_xlfn.XLOOKUP(A147,merged!A:A,merged!C:C))*100)/100</f>
        <v>3.8155519999999998E-2</v>
      </c>
      <c r="C147">
        <f>((merged!D148/merged!D147-1)*100)/100</f>
        <v>7.0843843930914474E-3</v>
      </c>
      <c r="D147">
        <v>3.58</v>
      </c>
      <c r="E147">
        <v>0.13</v>
      </c>
      <c r="F147">
        <v>0.16</v>
      </c>
    </row>
    <row r="148" spans="1:6" x14ac:dyDescent="0.2">
      <c r="A148" s="1">
        <v>40633</v>
      </c>
      <c r="B148">
        <f>((_xlfn.XLOOKUP(A148,merged!A:A,merged!C:C))*100)/100</f>
        <v>3.3408380000000001E-3</v>
      </c>
      <c r="C148">
        <f>((merged!D149/merged!D148-1)*100)/100</f>
        <v>2.7351247600782003E-4</v>
      </c>
      <c r="D148">
        <v>3.41</v>
      </c>
      <c r="E148">
        <v>0.1</v>
      </c>
      <c r="F148">
        <v>0.1</v>
      </c>
    </row>
    <row r="149" spans="1:6" x14ac:dyDescent="0.2">
      <c r="A149" s="1">
        <v>40662</v>
      </c>
      <c r="B149">
        <f>((_xlfn.XLOOKUP(A149,merged!A:A,merged!C:C))*100)/100</f>
        <v>2.8596789999999997E-2</v>
      </c>
      <c r="C149">
        <f>((merged!D150/merged!D149-1)*100)/100</f>
        <v>1.6981919532565337E-2</v>
      </c>
      <c r="D149">
        <v>3.46</v>
      </c>
      <c r="E149">
        <v>0.06</v>
      </c>
      <c r="F149">
        <v>0.09</v>
      </c>
    </row>
    <row r="150" spans="1:6" x14ac:dyDescent="0.2">
      <c r="A150" s="1">
        <v>40694</v>
      </c>
      <c r="B150">
        <f>((_xlfn.XLOOKUP(A150,merged!A:A,merged!C:C))*100)/100</f>
        <v>-1.4947709999999998E-2</v>
      </c>
      <c r="C150">
        <f>((merged!D151/merged!D150-1)*100)/100</f>
        <v>1.4316240324155682E-2</v>
      </c>
      <c r="D150">
        <v>3.17</v>
      </c>
      <c r="E150">
        <v>0.04</v>
      </c>
      <c r="F150">
        <v>0.1</v>
      </c>
    </row>
    <row r="151" spans="1:6" x14ac:dyDescent="0.2">
      <c r="A151" s="1">
        <v>40724</v>
      </c>
      <c r="B151">
        <f>((_xlfn.XLOOKUP(A151,merged!A:A,merged!C:C))*100)/100</f>
        <v>-1.8447160000000001E-2</v>
      </c>
      <c r="C151">
        <f>((merged!D152/merged!D151-1)*100)/100</f>
        <v>-8.3289928940810665E-3</v>
      </c>
      <c r="D151">
        <v>3</v>
      </c>
      <c r="E151">
        <v>0.04</v>
      </c>
      <c r="F151">
        <v>7.0000000000000007E-2</v>
      </c>
    </row>
    <row r="152" spans="1:6" x14ac:dyDescent="0.2">
      <c r="A152" s="1">
        <v>40753</v>
      </c>
      <c r="B152">
        <f>((_xlfn.XLOOKUP(A152,merged!A:A,merged!C:C))*100)/100</f>
        <v>-2.2534200000000001E-2</v>
      </c>
      <c r="C152">
        <f>((merged!D153/merged!D152-1)*100)/100</f>
        <v>2.2945868758822208E-2</v>
      </c>
      <c r="D152">
        <v>3</v>
      </c>
      <c r="E152">
        <v>0.04</v>
      </c>
      <c r="F152">
        <v>0.11</v>
      </c>
    </row>
    <row r="153" spans="1:6" x14ac:dyDescent="0.2">
      <c r="A153" s="1">
        <v>40786</v>
      </c>
      <c r="B153">
        <f>((_xlfn.XLOOKUP(A153,merged!A:A,merged!C:C))*100)/100</f>
        <v>-5.7563980000000001E-2</v>
      </c>
      <c r="C153">
        <f>((merged!D154/merged!D153-1)*100)/100</f>
        <v>1.0268917271034628E-3</v>
      </c>
      <c r="D153">
        <v>2.2999999999999998</v>
      </c>
      <c r="E153">
        <v>0.02</v>
      </c>
      <c r="F153">
        <v>0.08</v>
      </c>
    </row>
    <row r="154" spans="1:6" x14ac:dyDescent="0.2">
      <c r="A154" s="1">
        <v>40816</v>
      </c>
      <c r="B154">
        <f>((_xlfn.XLOOKUP(A154,merged!A:A,merged!C:C))*100)/100</f>
        <v>-8.4982700000000022E-2</v>
      </c>
      <c r="C154">
        <f>((merged!D155/merged!D154-1)*100)/100</f>
        <v>-1.3372535011312303E-3</v>
      </c>
      <c r="D154">
        <v>1.98</v>
      </c>
      <c r="E154">
        <v>0.01</v>
      </c>
      <c r="F154">
        <v>0.06</v>
      </c>
    </row>
    <row r="155" spans="1:6" x14ac:dyDescent="0.2">
      <c r="A155" s="1">
        <v>40847</v>
      </c>
      <c r="B155">
        <f>((_xlfn.XLOOKUP(A155,merged!A:A,merged!C:C))*100)/100</f>
        <v>0.11414589999999998</v>
      </c>
      <c r="C155">
        <f>((merged!D156/merged!D155-1)*100)/100</f>
        <v>1.7545146882136597E-2</v>
      </c>
      <c r="D155">
        <v>2.15</v>
      </c>
      <c r="E155">
        <v>0.02</v>
      </c>
      <c r="F155">
        <v>0.09</v>
      </c>
    </row>
    <row r="156" spans="1:6" x14ac:dyDescent="0.2">
      <c r="A156" s="1">
        <v>40877</v>
      </c>
      <c r="B156">
        <f>((_xlfn.XLOOKUP(A156,merged!A:A,merged!C:C))*100)/100</f>
        <v>-6.2700240000000008E-3</v>
      </c>
      <c r="C156">
        <f>((merged!D157/merged!D156-1)*100)/100</f>
        <v>-1.8662232076866125E-2</v>
      </c>
      <c r="D156">
        <v>2.0099999999999998</v>
      </c>
      <c r="E156">
        <v>0.01</v>
      </c>
      <c r="F156">
        <v>0.1</v>
      </c>
    </row>
    <row r="157" spans="1:6" x14ac:dyDescent="0.2">
      <c r="A157" s="1">
        <v>40907</v>
      </c>
      <c r="B157">
        <f>((_xlfn.XLOOKUP(A157,merged!A:A,merged!C:C))*100)/100</f>
        <v>3.6757780000000002E-3</v>
      </c>
      <c r="C157">
        <f>((merged!D158/merged!D157-1)*100)/100</f>
        <v>1.9260531524539326E-2</v>
      </c>
      <c r="D157">
        <v>1.98</v>
      </c>
      <c r="E157">
        <v>0.01</v>
      </c>
      <c r="F157">
        <v>0.04</v>
      </c>
    </row>
    <row r="158" spans="1:6" x14ac:dyDescent="0.2">
      <c r="A158" s="1">
        <v>40939</v>
      </c>
      <c r="B158">
        <f>((_xlfn.XLOOKUP(A158,merged!A:A,merged!C:C))*100)/100</f>
        <v>5.4106390000000004E-2</v>
      </c>
      <c r="C158">
        <f>((merged!D159/merged!D158-1)*100)/100</f>
        <v>2.1829732591407858E-2</v>
      </c>
      <c r="D158">
        <v>1.97</v>
      </c>
      <c r="E158">
        <v>0.03</v>
      </c>
      <c r="F158">
        <v>0.11</v>
      </c>
    </row>
    <row r="159" spans="1:6" x14ac:dyDescent="0.2">
      <c r="A159" s="1">
        <v>40968</v>
      </c>
      <c r="B159">
        <f>((_xlfn.XLOOKUP(A159,merged!A:A,merged!C:C))*100)/100</f>
        <v>4.1225249999999998E-2</v>
      </c>
      <c r="C159">
        <f>((merged!D160/merged!D159-1)*100)/100</f>
        <v>8.4880285726884885E-3</v>
      </c>
      <c r="D159">
        <v>1.97</v>
      </c>
      <c r="E159">
        <v>0.09</v>
      </c>
      <c r="F159">
        <v>0.1</v>
      </c>
    </row>
    <row r="160" spans="1:6" x14ac:dyDescent="0.2">
      <c r="A160" s="1">
        <v>40998</v>
      </c>
      <c r="B160">
        <f>((_xlfn.XLOOKUP(A160,merged!A:A,merged!C:C))*100)/100</f>
        <v>2.4020320000000001E-2</v>
      </c>
      <c r="C160">
        <f>((merged!D161/merged!D160-1)*100)/100</f>
        <v>-5.9025424655138048E-3</v>
      </c>
      <c r="D160">
        <v>2.17</v>
      </c>
      <c r="E160">
        <v>0.08</v>
      </c>
      <c r="F160">
        <v>0.09</v>
      </c>
    </row>
    <row r="161" spans="1:6" x14ac:dyDescent="0.2">
      <c r="A161" s="1">
        <v>41029</v>
      </c>
      <c r="B161">
        <f>((_xlfn.XLOOKUP(A161,merged!A:A,merged!C:C))*100)/100</f>
        <v>-6.8285950000000007E-3</v>
      </c>
      <c r="C161">
        <f>((merged!D162/merged!D161-1)*100)/100</f>
        <v>1.2759219756778739E-2</v>
      </c>
      <c r="D161">
        <v>2.0499999999999998</v>
      </c>
      <c r="E161">
        <v>0.08</v>
      </c>
      <c r="F161">
        <v>0.16</v>
      </c>
    </row>
    <row r="162" spans="1:6" x14ac:dyDescent="0.2">
      <c r="A162" s="1">
        <v>41060</v>
      </c>
      <c r="B162">
        <f>((_xlfn.XLOOKUP(A162,merged!A:A,merged!C:C))*100)/100</f>
        <v>-6.5590220000000005E-2</v>
      </c>
      <c r="C162">
        <f>((merged!D163/merged!D162-1)*100)/100</f>
        <v>5.7889571191578337E-3</v>
      </c>
      <c r="D162">
        <v>1.8</v>
      </c>
      <c r="E162">
        <v>0.09</v>
      </c>
      <c r="F162">
        <v>0.16</v>
      </c>
    </row>
    <row r="163" spans="1:6" x14ac:dyDescent="0.2">
      <c r="A163" s="1">
        <v>41089</v>
      </c>
      <c r="B163">
        <f>((_xlfn.XLOOKUP(A163,merged!A:A,merged!C:C))*100)/100</f>
        <v>3.8150870000000003E-2</v>
      </c>
      <c r="C163">
        <f>((merged!D164/merged!D163-1)*100)/100</f>
        <v>4.9913859731693933E-3</v>
      </c>
      <c r="D163">
        <v>1.62</v>
      </c>
      <c r="E163">
        <v>0.09</v>
      </c>
      <c r="F163">
        <v>0.09</v>
      </c>
    </row>
    <row r="164" spans="1:6" x14ac:dyDescent="0.2">
      <c r="A164" s="1">
        <v>41121</v>
      </c>
      <c r="B164">
        <f>((_xlfn.XLOOKUP(A164,merged!A:A,merged!C:C))*100)/100</f>
        <v>1.030725E-2</v>
      </c>
      <c r="C164">
        <f>((merged!D165/merged!D164-1)*100)/100</f>
        <v>2.8072436682348156E-2</v>
      </c>
      <c r="D164">
        <v>1.53</v>
      </c>
      <c r="E164">
        <v>0.1</v>
      </c>
      <c r="F164">
        <v>0.13</v>
      </c>
    </row>
    <row r="165" spans="1:6" x14ac:dyDescent="0.2">
      <c r="A165" s="1">
        <v>41152</v>
      </c>
      <c r="B165">
        <f>((_xlfn.XLOOKUP(A165,merged!A:A,merged!C:C))*100)/100</f>
        <v>2.631677E-2</v>
      </c>
      <c r="C165">
        <f>((merged!D166/merged!D165-1)*100)/100</f>
        <v>3.9951690215596081E-3</v>
      </c>
      <c r="D165">
        <v>1.68</v>
      </c>
      <c r="E165">
        <v>0.1</v>
      </c>
      <c r="F165">
        <v>0.13</v>
      </c>
    </row>
    <row r="166" spans="1:6" x14ac:dyDescent="0.2">
      <c r="A166" s="1">
        <v>41180</v>
      </c>
      <c r="B166">
        <f>((_xlfn.XLOOKUP(A166,merged!A:A,merged!C:C))*100)/100</f>
        <v>2.6513270000000002E-2</v>
      </c>
      <c r="C166">
        <f>((merged!D167/merged!D166-1)*100)/100</f>
        <v>7.3882911194822487E-3</v>
      </c>
      <c r="D166">
        <v>1.72</v>
      </c>
      <c r="E166">
        <v>0.11</v>
      </c>
      <c r="F166">
        <v>0.09</v>
      </c>
    </row>
    <row r="167" spans="1:6" x14ac:dyDescent="0.2">
      <c r="A167" s="1">
        <v>41213</v>
      </c>
      <c r="B167">
        <f>((_xlfn.XLOOKUP(A167,merged!A:A,merged!C:C))*100)/100</f>
        <v>-1.4054500000000001E-2</v>
      </c>
      <c r="C167">
        <f>((merged!D168/merged!D167-1)*100)/100</f>
        <v>1.3160069415750986E-2</v>
      </c>
      <c r="D167">
        <v>1.75</v>
      </c>
      <c r="E167">
        <v>0.1</v>
      </c>
      <c r="F167">
        <v>0.18</v>
      </c>
    </row>
    <row r="168" spans="1:6" x14ac:dyDescent="0.2">
      <c r="A168" s="1">
        <v>41243</v>
      </c>
      <c r="B168">
        <f>((_xlfn.XLOOKUP(A168,merged!A:A,merged!C:C))*100)/100</f>
        <v>6.2167580000000002E-3</v>
      </c>
      <c r="C168">
        <f>((merged!D169/merged!D168-1)*100)/100</f>
        <v>-8.1972227320004087E-4</v>
      </c>
      <c r="D168">
        <v>1.65</v>
      </c>
      <c r="E168">
        <v>0.09</v>
      </c>
      <c r="F168">
        <v>0.16</v>
      </c>
    </row>
    <row r="169" spans="1:6" x14ac:dyDescent="0.2">
      <c r="A169" s="1">
        <v>41274</v>
      </c>
      <c r="B169">
        <f>((_xlfn.XLOOKUP(A169,merged!A:A,merged!C:C))*100)/100</f>
        <v>1.2568590000000001E-2</v>
      </c>
      <c r="C169">
        <f>((merged!D170/merged!D169-1)*100)/100</f>
        <v>-1.959151687319638E-4</v>
      </c>
      <c r="D169">
        <v>1.72</v>
      </c>
      <c r="E169">
        <v>7.0000000000000007E-2</v>
      </c>
      <c r="F169">
        <v>0.09</v>
      </c>
    </row>
    <row r="170" spans="1:6" x14ac:dyDescent="0.2">
      <c r="A170" s="1">
        <v>41305</v>
      </c>
      <c r="B170">
        <f>((_xlfn.XLOOKUP(A170,merged!A:A,merged!C:C))*100)/100</f>
        <v>5.4142099999999999E-2</v>
      </c>
      <c r="C170">
        <f>((merged!D171/merged!D170-1)*100)/100</f>
        <v>-7.1727167328010655E-3</v>
      </c>
      <c r="D170">
        <v>1.91</v>
      </c>
      <c r="E170">
        <v>7.0000000000000007E-2</v>
      </c>
      <c r="F170">
        <v>0.15</v>
      </c>
    </row>
    <row r="171" spans="1:6" x14ac:dyDescent="0.2">
      <c r="A171" s="1">
        <v>41333</v>
      </c>
      <c r="B171">
        <f>((_xlfn.XLOOKUP(A171,merged!A:A,merged!C:C))*100)/100</f>
        <v>8.2821920000000007E-3</v>
      </c>
      <c r="C171">
        <f>((merged!D172/merged!D171-1)*100)/100</f>
        <v>7.0682856426218521E-3</v>
      </c>
      <c r="D171">
        <v>1.98</v>
      </c>
      <c r="E171">
        <v>0.1</v>
      </c>
      <c r="F171">
        <v>0.14000000000000001</v>
      </c>
    </row>
    <row r="172" spans="1:6" x14ac:dyDescent="0.2">
      <c r="A172" s="1">
        <v>41361</v>
      </c>
      <c r="B172">
        <f>((_xlfn.XLOOKUP(A172,merged!A:A,merged!C:C))*100)/100</f>
        <v>3.5294610000000004E-2</v>
      </c>
      <c r="C172">
        <f>((merged!D173/merged!D172-1)*100)/100</f>
        <v>6.6144587167960012E-4</v>
      </c>
      <c r="D172">
        <v>1.96</v>
      </c>
      <c r="E172">
        <v>0.09</v>
      </c>
      <c r="F172">
        <v>0.09</v>
      </c>
    </row>
    <row r="173" spans="1:6" x14ac:dyDescent="0.2">
      <c r="A173" s="1">
        <v>41394</v>
      </c>
      <c r="B173">
        <f>((_xlfn.XLOOKUP(A173,merged!A:A,merged!C:C))*100)/100</f>
        <v>1.4938660000000001E-2</v>
      </c>
      <c r="C173">
        <f>((merged!D174/merged!D173-1)*100)/100</f>
        <v>1.6998531091888314E-2</v>
      </c>
      <c r="D173">
        <v>1.76</v>
      </c>
      <c r="E173">
        <v>0.06</v>
      </c>
      <c r="F173">
        <v>0.14000000000000001</v>
      </c>
    </row>
    <row r="174" spans="1:6" x14ac:dyDescent="0.2">
      <c r="A174" s="1">
        <v>41425</v>
      </c>
      <c r="B174">
        <f>((_xlfn.XLOOKUP(A174,merged!A:A,merged!C:C))*100)/100</f>
        <v>1.912778E-2</v>
      </c>
      <c r="C174">
        <f>((merged!D175/merged!D174-1)*100)/100</f>
        <v>-2.2808791314604782E-2</v>
      </c>
      <c r="D174">
        <v>1.93</v>
      </c>
      <c r="E174">
        <v>0.04</v>
      </c>
      <c r="F174">
        <v>0.09</v>
      </c>
    </row>
    <row r="175" spans="1:6" x14ac:dyDescent="0.2">
      <c r="A175" s="1">
        <v>41453</v>
      </c>
      <c r="B175">
        <f>((_xlfn.XLOOKUP(A175,merged!A:A,merged!C:C))*100)/100</f>
        <v>-1.5072220000000001E-2</v>
      </c>
      <c r="C175">
        <f>((merged!D176/merged!D175-1)*100)/100</f>
        <v>-2.7598835609970451E-2</v>
      </c>
      <c r="D175">
        <v>2.2999999999999998</v>
      </c>
      <c r="E175">
        <v>0.05</v>
      </c>
      <c r="F175">
        <v>7.0000000000000007E-2</v>
      </c>
    </row>
    <row r="176" spans="1:6" x14ac:dyDescent="0.2">
      <c r="A176" s="1">
        <v>41486</v>
      </c>
      <c r="B176">
        <f>((_xlfn.XLOOKUP(A176,merged!A:A,merged!C:C))*100)/100</f>
        <v>5.2658040000000003E-2</v>
      </c>
      <c r="C176">
        <f>((merged!D177/merged!D176-1)*100)/100</f>
        <v>7.3889857667022163E-3</v>
      </c>
      <c r="D176">
        <v>2.58</v>
      </c>
      <c r="E176">
        <v>0.04</v>
      </c>
      <c r="F176">
        <v>0.09</v>
      </c>
    </row>
    <row r="177" spans="1:6" x14ac:dyDescent="0.2">
      <c r="A177" s="1">
        <v>41516</v>
      </c>
      <c r="B177">
        <f>((_xlfn.XLOOKUP(A177,merged!A:A,merged!C:C))*100)/100</f>
        <v>-2.575005E-2</v>
      </c>
      <c r="C177">
        <f>((merged!D178/merged!D177-1)*100)/100</f>
        <v>-7.6826676837573604E-3</v>
      </c>
      <c r="D177">
        <v>2.74</v>
      </c>
      <c r="E177">
        <v>0.04</v>
      </c>
      <c r="F177">
        <v>7.0000000000000007E-2</v>
      </c>
    </row>
    <row r="178" spans="1:6" x14ac:dyDescent="0.2">
      <c r="A178" s="1">
        <v>41547</v>
      </c>
      <c r="B178">
        <f>((_xlfn.XLOOKUP(A178,merged!A:A,merged!C:C))*100)/100</f>
        <v>3.7497210000000003E-2</v>
      </c>
      <c r="C178">
        <f>((merged!D179/merged!D178-1)*100)/100</f>
        <v>9.2500295663044962E-3</v>
      </c>
      <c r="D178">
        <v>2.81</v>
      </c>
      <c r="E178">
        <v>0.02</v>
      </c>
      <c r="F178">
        <v>0.06</v>
      </c>
    </row>
    <row r="179" spans="1:6" x14ac:dyDescent="0.2">
      <c r="A179" s="1">
        <v>41578</v>
      </c>
      <c r="B179">
        <f>((_xlfn.XLOOKUP(A179,merged!A:A,merged!C:C))*100)/100</f>
        <v>3.9888529999999998E-2</v>
      </c>
      <c r="C179">
        <f>((merged!D180/merged!D179-1)*100)/100</f>
        <v>1.4965724473311903E-2</v>
      </c>
      <c r="D179">
        <v>2.62</v>
      </c>
      <c r="E179">
        <v>0.05</v>
      </c>
      <c r="F179">
        <v>7.0000000000000007E-2</v>
      </c>
    </row>
    <row r="180" spans="1:6" x14ac:dyDescent="0.2">
      <c r="A180" s="1">
        <v>41607</v>
      </c>
      <c r="B180">
        <f>((_xlfn.XLOOKUP(A180,merged!A:A,merged!C:C))*100)/100</f>
        <v>2.4956390000000002E-2</v>
      </c>
      <c r="C180">
        <f>((merged!D181/merged!D180-1)*100)/100</f>
        <v>-2.8780894104452059E-3</v>
      </c>
      <c r="D180">
        <v>2.72</v>
      </c>
      <c r="E180">
        <v>7.0000000000000007E-2</v>
      </c>
      <c r="F180">
        <v>7.0000000000000007E-2</v>
      </c>
    </row>
    <row r="181" spans="1:6" x14ac:dyDescent="0.2">
      <c r="A181" s="1">
        <v>41639</v>
      </c>
      <c r="B181">
        <f>((_xlfn.XLOOKUP(A181,merged!A:A,merged!C:C))*100)/100</f>
        <v>2.6139880000000001E-2</v>
      </c>
      <c r="C181">
        <f>((merged!D182/merged!D181-1)*100)/100</f>
        <v>-1.7946936615057529E-3</v>
      </c>
      <c r="D181">
        <v>2.9</v>
      </c>
      <c r="E181">
        <v>7.0000000000000007E-2</v>
      </c>
      <c r="F181">
        <v>7.0000000000000007E-2</v>
      </c>
    </row>
    <row r="182" spans="1:6" x14ac:dyDescent="0.2">
      <c r="A182" s="1">
        <v>41670</v>
      </c>
      <c r="B182">
        <f>((_xlfn.XLOOKUP(A182,merged!A:A,merged!C:C))*100)/100</f>
        <v>-3.0019710000000002E-2</v>
      </c>
      <c r="C182">
        <f>((merged!D183/merged!D182-1)*100)/100</f>
        <v>1.7842495546625647E-2</v>
      </c>
      <c r="D182">
        <v>2.86</v>
      </c>
      <c r="E182">
        <v>0.04</v>
      </c>
      <c r="F182">
        <v>7.0000000000000007E-2</v>
      </c>
    </row>
    <row r="183" spans="1:6" x14ac:dyDescent="0.2">
      <c r="A183" s="1">
        <v>41698</v>
      </c>
      <c r="B183">
        <f>((_xlfn.XLOOKUP(A183,merged!A:A,merged!C:C))*100)/100</f>
        <v>4.6198340000000011E-2</v>
      </c>
      <c r="C183">
        <f>((merged!D184/merged!D183-1)*100)/100</f>
        <v>1.0972864951545924E-2</v>
      </c>
      <c r="D183">
        <v>2.71</v>
      </c>
      <c r="E183">
        <v>0.05</v>
      </c>
      <c r="F183">
        <v>0.06</v>
      </c>
    </row>
    <row r="184" spans="1:6" x14ac:dyDescent="0.2">
      <c r="A184" s="1">
        <v>41729</v>
      </c>
      <c r="B184">
        <f>((_xlfn.XLOOKUP(A184,merged!A:A,merged!C:C))*100)/100</f>
        <v>4.5402910000000001E-3</v>
      </c>
      <c r="C184">
        <f>((merged!D185/merged!D184-1)*100)/100</f>
        <v>7.1258046724342883E-4</v>
      </c>
      <c r="D184">
        <v>2.72</v>
      </c>
      <c r="E184">
        <v>0.05</v>
      </c>
      <c r="F184">
        <v>0.06</v>
      </c>
    </row>
    <row r="185" spans="1:6" x14ac:dyDescent="0.2">
      <c r="A185" s="1">
        <v>41759</v>
      </c>
      <c r="B185">
        <f>((_xlfn.XLOOKUP(A185,merged!A:A,merged!C:C))*100)/100</f>
        <v>1.5731880000000001E-3</v>
      </c>
      <c r="C185">
        <f>((merged!D186/merged!D185-1)*100)/100</f>
        <v>1.1658687693607339E-2</v>
      </c>
      <c r="D185">
        <v>2.71</v>
      </c>
      <c r="E185">
        <v>0.03</v>
      </c>
      <c r="F185">
        <v>0.09</v>
      </c>
    </row>
    <row r="186" spans="1:6" x14ac:dyDescent="0.2">
      <c r="A186" s="1">
        <v>41789</v>
      </c>
      <c r="B186">
        <f>((_xlfn.XLOOKUP(A186,merged!A:A,merged!C:C))*100)/100</f>
        <v>2.0254009999999999E-2</v>
      </c>
      <c r="C186">
        <f>((merged!D187/merged!D186-1)*100)/100</f>
        <v>1.5290215852514111E-2</v>
      </c>
      <c r="D186">
        <v>2.56</v>
      </c>
      <c r="E186">
        <v>0.03</v>
      </c>
      <c r="F186">
        <v>0.08</v>
      </c>
    </row>
    <row r="187" spans="1:6" x14ac:dyDescent="0.2">
      <c r="A187" s="1">
        <v>41820</v>
      </c>
      <c r="B187">
        <f>((_xlfn.XLOOKUP(A187,merged!A:A,merged!C:C))*100)/100</f>
        <v>2.7972929999999997E-2</v>
      </c>
      <c r="C187">
        <f>((merged!D188/merged!D187-1)*100)/100</f>
        <v>1.676373705999934E-3</v>
      </c>
      <c r="D187">
        <v>2.6</v>
      </c>
      <c r="E187">
        <v>0.04</v>
      </c>
      <c r="F187">
        <v>0.09</v>
      </c>
    </row>
    <row r="188" spans="1:6" x14ac:dyDescent="0.2">
      <c r="A188" s="1">
        <v>41851</v>
      </c>
      <c r="B188">
        <f>((_xlfn.XLOOKUP(A188,merged!A:A,merged!C:C))*100)/100</f>
        <v>-2.0554929999999999E-2</v>
      </c>
      <c r="C188">
        <f>((merged!D189/merged!D188-1)*100)/100</f>
        <v>-1.1769720146553864E-3</v>
      </c>
      <c r="D188">
        <v>2.54</v>
      </c>
      <c r="E188">
        <v>0.03</v>
      </c>
      <c r="F188">
        <v>0.08</v>
      </c>
    </row>
    <row r="189" spans="1:6" x14ac:dyDescent="0.2">
      <c r="A189" s="1">
        <v>41880</v>
      </c>
      <c r="B189">
        <f>((_xlfn.XLOOKUP(A189,merged!A:A,merged!C:C))*100)/100</f>
        <v>4.0205350000000001E-2</v>
      </c>
      <c r="C189">
        <f>((merged!D190/merged!D189-1)*100)/100</f>
        <v>1.4269495772001095E-2</v>
      </c>
      <c r="D189">
        <v>2.42</v>
      </c>
      <c r="E189">
        <v>0.03</v>
      </c>
      <c r="F189">
        <v>7.0000000000000007E-2</v>
      </c>
    </row>
    <row r="190" spans="1:6" x14ac:dyDescent="0.2">
      <c r="A190" s="1">
        <v>41912</v>
      </c>
      <c r="B190">
        <f>((_xlfn.XLOOKUP(A190,merged!A:A,merged!C:C))*100)/100</f>
        <v>-2.5195750000000003E-2</v>
      </c>
      <c r="C190">
        <f>((merged!D191/merged!D190-1)*100)/100</f>
        <v>-1.2432213366269762E-2</v>
      </c>
      <c r="D190">
        <v>2.5299999999999998</v>
      </c>
      <c r="E190">
        <v>0.02</v>
      </c>
      <c r="F190">
        <v>7.0000000000000007E-2</v>
      </c>
    </row>
    <row r="191" spans="1:6" x14ac:dyDescent="0.2">
      <c r="A191" s="1">
        <v>41943</v>
      </c>
      <c r="B191">
        <f>((_xlfn.XLOOKUP(A191,merged!A:A,merged!C:C))*100)/100</f>
        <v>2.1163919999999999E-2</v>
      </c>
      <c r="C191">
        <f>((merged!D192/merged!D191-1)*100)/100</f>
        <v>9.3330832004503428E-3</v>
      </c>
      <c r="D191">
        <v>2.2999999999999998</v>
      </c>
      <c r="E191">
        <v>0.02</v>
      </c>
      <c r="F191">
        <v>7.0000000000000007E-2</v>
      </c>
    </row>
    <row r="192" spans="1:6" x14ac:dyDescent="0.2">
      <c r="A192" s="1">
        <v>41971</v>
      </c>
      <c r="B192">
        <f>((_xlfn.XLOOKUP(A192,merged!A:A,merged!C:C))*100)/100</f>
        <v>2.1104009999999999E-2</v>
      </c>
      <c r="C192">
        <f>((merged!D193/merged!D192-1)*100)/100</f>
        <v>6.350386444248235E-3</v>
      </c>
      <c r="D192">
        <v>2.33</v>
      </c>
      <c r="E192">
        <v>0.02</v>
      </c>
      <c r="F192">
        <v>0.08</v>
      </c>
    </row>
    <row r="193" spans="1:6" x14ac:dyDescent="0.2">
      <c r="A193" s="1">
        <v>42004</v>
      </c>
      <c r="B193">
        <f>((_xlfn.XLOOKUP(A193,merged!A:A,merged!C:C))*100)/100</f>
        <v>-3.659041E-3</v>
      </c>
      <c r="C193">
        <f>((merged!D194/merged!D193-1)*100)/100</f>
        <v>-1.4005817801240328E-3</v>
      </c>
      <c r="D193">
        <v>2.21</v>
      </c>
      <c r="E193">
        <v>0.03</v>
      </c>
      <c r="F193">
        <v>0.06</v>
      </c>
    </row>
    <row r="194" spans="1:6" x14ac:dyDescent="0.2">
      <c r="A194" s="1">
        <v>42034</v>
      </c>
      <c r="B194">
        <f>((_xlfn.XLOOKUP(A194,merged!A:A,merged!C:C))*100)/100</f>
        <v>-2.7163099999999999E-2</v>
      </c>
      <c r="C194">
        <f>((merged!D195/merged!D194-1)*100)/100</f>
        <v>2.7403594217194183E-2</v>
      </c>
      <c r="D194">
        <v>1.88</v>
      </c>
      <c r="E194">
        <v>0.03</v>
      </c>
      <c r="F194">
        <v>0.06</v>
      </c>
    </row>
    <row r="195" spans="1:6" x14ac:dyDescent="0.2">
      <c r="A195" s="1">
        <v>42062</v>
      </c>
      <c r="B195">
        <f>((_xlfn.XLOOKUP(A195,merged!A:A,merged!C:C))*100)/100</f>
        <v>5.5915320000000011E-2</v>
      </c>
      <c r="C195">
        <f>((merged!D196/merged!D195-1)*100)/100</f>
        <v>-8.3595859585958721E-3</v>
      </c>
      <c r="D195">
        <v>1.98</v>
      </c>
      <c r="E195">
        <v>0.02</v>
      </c>
      <c r="F195">
        <v>0.06</v>
      </c>
    </row>
    <row r="196" spans="1:6" x14ac:dyDescent="0.2">
      <c r="A196" s="1">
        <v>42094</v>
      </c>
      <c r="B196">
        <f>((_xlfn.XLOOKUP(A196,merged!A:A,merged!C:C))*100)/100</f>
        <v>-1.039692E-2</v>
      </c>
      <c r="C196">
        <f>((merged!D197/merged!D196-1)*100)/100</f>
        <v>3.7139150791758446E-3</v>
      </c>
      <c r="D196">
        <v>2.04</v>
      </c>
      <c r="E196">
        <v>0.03</v>
      </c>
      <c r="F196">
        <v>0.06</v>
      </c>
    </row>
    <row r="197" spans="1:6" x14ac:dyDescent="0.2">
      <c r="A197" s="1">
        <v>42124</v>
      </c>
      <c r="B197">
        <f>((_xlfn.XLOOKUP(A197,merged!A:A,merged!C:C))*100)/100</f>
        <v>8.7658250000000014E-3</v>
      </c>
      <c r="C197">
        <f>((merged!D198/merged!D197-1)*100)/100</f>
        <v>-5.3392516004565627E-3</v>
      </c>
      <c r="D197">
        <v>1.94</v>
      </c>
      <c r="E197">
        <v>0.02</v>
      </c>
      <c r="F197">
        <v>0.08</v>
      </c>
    </row>
    <row r="198" spans="1:6" x14ac:dyDescent="0.2">
      <c r="A198" s="1">
        <v>42153</v>
      </c>
      <c r="B198">
        <f>((_xlfn.XLOOKUP(A198,merged!A:A,merged!C:C))*100)/100</f>
        <v>1.0277420000000002E-2</v>
      </c>
      <c r="C198">
        <f>((merged!D199/merged!D198-1)*100)/100</f>
        <v>-5.0534897111859101E-3</v>
      </c>
      <c r="D198">
        <v>2.2000000000000002</v>
      </c>
      <c r="E198">
        <v>0.02</v>
      </c>
      <c r="F198">
        <v>0.08</v>
      </c>
    </row>
    <row r="199" spans="1:6" x14ac:dyDescent="0.2">
      <c r="A199" s="1">
        <v>42185</v>
      </c>
      <c r="B199">
        <f>((_xlfn.XLOOKUP(A199,merged!A:A,merged!C:C))*100)/100</f>
        <v>-1.923101E-2</v>
      </c>
      <c r="C199">
        <f>((merged!D200/merged!D199-1)*100)/100</f>
        <v>-1.6394940641633826E-2</v>
      </c>
      <c r="D199">
        <v>2.36</v>
      </c>
      <c r="E199">
        <v>0.02</v>
      </c>
      <c r="F199">
        <v>0.08</v>
      </c>
    </row>
    <row r="200" spans="1:6" x14ac:dyDescent="0.2">
      <c r="A200" s="1">
        <v>42216</v>
      </c>
      <c r="B200">
        <f>((_xlfn.XLOOKUP(A200,merged!A:A,merged!C:C))*100)/100</f>
        <v>1.2107509999999998E-2</v>
      </c>
      <c r="C200">
        <f>((merged!D201/merged!D200-1)*100)/100</f>
        <v>5.3883314752880551E-3</v>
      </c>
      <c r="D200">
        <v>2.3199999999999998</v>
      </c>
      <c r="E200">
        <v>0.03</v>
      </c>
      <c r="F200">
        <v>0.08</v>
      </c>
    </row>
    <row r="201" spans="1:6" x14ac:dyDescent="0.2">
      <c r="A201" s="1">
        <v>42247</v>
      </c>
      <c r="B201">
        <f>((_xlfn.XLOOKUP(A201,merged!A:A,merged!C:C))*100)/100</f>
        <v>-5.9926440000000004E-2</v>
      </c>
      <c r="C201">
        <f>((merged!D202/merged!D201-1)*100)/100</f>
        <v>-6.7070165711822227E-3</v>
      </c>
      <c r="D201">
        <v>2.17</v>
      </c>
      <c r="E201">
        <v>7.0000000000000007E-2</v>
      </c>
      <c r="F201">
        <v>0.08</v>
      </c>
    </row>
    <row r="202" spans="1:6" x14ac:dyDescent="0.2">
      <c r="A202" s="1">
        <v>42277</v>
      </c>
      <c r="B202">
        <f>((_xlfn.XLOOKUP(A202,merged!A:A,merged!C:C))*100)/100</f>
        <v>-3.375591E-2</v>
      </c>
      <c r="C202">
        <f>((merged!D203/merged!D202-1)*100)/100</f>
        <v>5.2405944508615576E-3</v>
      </c>
      <c r="D202">
        <v>2.17</v>
      </c>
      <c r="E202">
        <v>0.02</v>
      </c>
      <c r="F202">
        <v>7.0000000000000007E-2</v>
      </c>
    </row>
    <row r="203" spans="1:6" x14ac:dyDescent="0.2">
      <c r="A203" s="1">
        <v>42307</v>
      </c>
      <c r="B203">
        <f>((_xlfn.XLOOKUP(A203,merged!A:A,merged!C:C))*100)/100</f>
        <v>7.3937210000000003E-2</v>
      </c>
      <c r="C203">
        <f>((merged!D204/merged!D203-1)*100)/100</f>
        <v>5.3598007233803813E-3</v>
      </c>
      <c r="D203">
        <v>2.0699999999999998</v>
      </c>
      <c r="E203">
        <v>0.02</v>
      </c>
      <c r="F203">
        <v>7.0000000000000007E-2</v>
      </c>
    </row>
    <row r="204" spans="1:6" x14ac:dyDescent="0.2">
      <c r="A204" s="1">
        <v>42338</v>
      </c>
      <c r="B204">
        <f>((_xlfn.XLOOKUP(A204,merged!A:A,merged!C:C))*100)/100</f>
        <v>2.404462E-3</v>
      </c>
      <c r="C204">
        <f>((merged!D205/merged!D204-1)*100)/100</f>
        <v>-2.23988217606097E-3</v>
      </c>
      <c r="D204">
        <v>2.2599999999999998</v>
      </c>
      <c r="E204">
        <v>0.12</v>
      </c>
      <c r="F204">
        <v>0.08</v>
      </c>
    </row>
    <row r="205" spans="1:6" x14ac:dyDescent="0.2">
      <c r="A205" s="1">
        <v>42369</v>
      </c>
      <c r="B205">
        <f>((_xlfn.XLOOKUP(A205,merged!A:A,merged!C:C))*100)/100</f>
        <v>-2.2209319999999998E-2</v>
      </c>
      <c r="C205">
        <f>((merged!D206/merged!D205-1)*100)/100</f>
        <v>-8.6682760317363661E-3</v>
      </c>
      <c r="D205">
        <v>2.2400000000000002</v>
      </c>
      <c r="E205">
        <v>0.23</v>
      </c>
      <c r="F205">
        <v>0.2</v>
      </c>
    </row>
    <row r="206" spans="1:6" x14ac:dyDescent="0.2">
      <c r="A206" s="1">
        <v>42398</v>
      </c>
      <c r="B206">
        <f>((_xlfn.XLOOKUP(A206,merged!A:A,merged!C:C))*100)/100</f>
        <v>-5.7084570000000001E-2</v>
      </c>
      <c r="C206">
        <f>((merged!D207/merged!D206-1)*100)/100</f>
        <v>4.3856077614787825E-3</v>
      </c>
      <c r="D206">
        <v>2.09</v>
      </c>
      <c r="E206">
        <v>0.26</v>
      </c>
      <c r="F206">
        <v>0.28999999999999998</v>
      </c>
    </row>
    <row r="207" spans="1:6" x14ac:dyDescent="0.2">
      <c r="A207" s="1">
        <v>42429</v>
      </c>
      <c r="B207">
        <f>((_xlfn.XLOOKUP(A207,merged!A:A,merged!C:C))*100)/100</f>
        <v>6.2028810000000001E-4</v>
      </c>
      <c r="C207">
        <f>((merged!D208/merged!D207-1)*100)/100</f>
        <v>7.3469230175275957E-3</v>
      </c>
      <c r="D207">
        <v>1.78</v>
      </c>
      <c r="E207">
        <v>0.31</v>
      </c>
      <c r="F207">
        <v>0.28999999999999998</v>
      </c>
    </row>
    <row r="208" spans="1:6" x14ac:dyDescent="0.2">
      <c r="A208" s="1">
        <v>42460</v>
      </c>
      <c r="B208">
        <f>((_xlfn.XLOOKUP(A208,merged!A:A,merged!C:C))*100)/100</f>
        <v>7.0491399999999996E-2</v>
      </c>
      <c r="C208">
        <f>((merged!D209/merged!D208-1)*100)/100</f>
        <v>2.7142107058404363E-2</v>
      </c>
      <c r="D208">
        <v>1.89</v>
      </c>
      <c r="E208">
        <v>0.28999999999999998</v>
      </c>
      <c r="F208">
        <v>0.25</v>
      </c>
    </row>
    <row r="209" spans="1:6" x14ac:dyDescent="0.2">
      <c r="A209" s="1">
        <v>42489</v>
      </c>
      <c r="B209">
        <f>((_xlfn.XLOOKUP(A209,merged!A:A,merged!C:C))*100)/100</f>
        <v>1.17175E-2</v>
      </c>
      <c r="C209">
        <f>((merged!D210/merged!D209-1)*100)/100</f>
        <v>1.3604223801794824E-2</v>
      </c>
      <c r="D209">
        <v>1.81</v>
      </c>
      <c r="E209">
        <v>0.23</v>
      </c>
      <c r="F209">
        <v>0.3</v>
      </c>
    </row>
    <row r="210" spans="1:6" x14ac:dyDescent="0.2">
      <c r="A210" s="1">
        <v>42521</v>
      </c>
      <c r="B210">
        <f>((_xlfn.XLOOKUP(A210,merged!A:A,merged!C:C))*100)/100</f>
        <v>1.433951E-2</v>
      </c>
      <c r="C210">
        <f>((merged!D211/merged!D210-1)*100)/100</f>
        <v>-6.5157131760984477E-4</v>
      </c>
      <c r="D210">
        <v>1.81</v>
      </c>
      <c r="E210">
        <v>0.27</v>
      </c>
      <c r="F210">
        <v>0.28999999999999998</v>
      </c>
    </row>
    <row r="211" spans="1:6" x14ac:dyDescent="0.2">
      <c r="A211" s="1">
        <v>42551</v>
      </c>
      <c r="B211">
        <f>((_xlfn.XLOOKUP(A211,merged!A:A,merged!C:C))*100)/100</f>
        <v>2.946602E-3</v>
      </c>
      <c r="C211">
        <f>((merged!D212/merged!D211-1)*100)/100</f>
        <v>2.1795825751268927E-2</v>
      </c>
      <c r="D211">
        <v>1.64</v>
      </c>
      <c r="E211">
        <v>0.27</v>
      </c>
      <c r="F211">
        <v>0.3</v>
      </c>
    </row>
    <row r="212" spans="1:6" x14ac:dyDescent="0.2">
      <c r="A212" s="1">
        <v>42580</v>
      </c>
      <c r="B212">
        <f>((_xlfn.XLOOKUP(A212,merged!A:A,merged!C:C))*100)/100</f>
        <v>3.8814660000000001E-2</v>
      </c>
      <c r="C212">
        <f>((merged!D213/merged!D212-1)*100)/100</f>
        <v>1.4502993968802169E-2</v>
      </c>
      <c r="D212">
        <v>1.5</v>
      </c>
      <c r="E212">
        <v>0.3</v>
      </c>
      <c r="F212">
        <v>0.3</v>
      </c>
    </row>
    <row r="213" spans="1:6" x14ac:dyDescent="0.2">
      <c r="A213" s="1">
        <v>42613</v>
      </c>
      <c r="B213">
        <f>((_xlfn.XLOOKUP(A213,merged!A:A,merged!C:C))*100)/100</f>
        <v>2.8002219999999998E-3</v>
      </c>
      <c r="C213">
        <f>((merged!D214/merged!D213-1)*100)/100</f>
        <v>2.7397357629683761E-3</v>
      </c>
      <c r="D213">
        <v>1.56</v>
      </c>
      <c r="E213">
        <v>0.3</v>
      </c>
      <c r="F213">
        <v>0.3</v>
      </c>
    </row>
    <row r="214" spans="1:6" x14ac:dyDescent="0.2">
      <c r="A214" s="1">
        <v>42643</v>
      </c>
      <c r="B214">
        <f>((_xlfn.XLOOKUP(A214,merged!A:A,merged!C:C))*100)/100</f>
        <v>3.0134419999999999E-3</v>
      </c>
      <c r="C214">
        <f>((merged!D215/merged!D214-1)*100)/100</f>
        <v>-2.8810886475184594E-3</v>
      </c>
      <c r="D214">
        <v>1.63</v>
      </c>
      <c r="E214">
        <v>0.28999999999999998</v>
      </c>
      <c r="F214">
        <v>0.28999999999999998</v>
      </c>
    </row>
    <row r="215" spans="1:6" x14ac:dyDescent="0.2">
      <c r="A215" s="1">
        <v>42674</v>
      </c>
      <c r="B215">
        <f>((_xlfn.XLOOKUP(A215,merged!A:A,merged!C:C))*100)/100</f>
        <v>-2.1543730000000001E-2</v>
      </c>
      <c r="C215">
        <f>((merged!D216/merged!D215-1)*100)/100</f>
        <v>-8.2772983807912759E-3</v>
      </c>
      <c r="D215">
        <v>1.76</v>
      </c>
      <c r="E215">
        <v>0.33</v>
      </c>
      <c r="F215">
        <v>0.31</v>
      </c>
    </row>
    <row r="216" spans="1:6" x14ac:dyDescent="0.2">
      <c r="A216" s="1">
        <v>42704</v>
      </c>
      <c r="B216">
        <f>((_xlfn.XLOOKUP(A216,merged!A:A,merged!C:C))*100)/100</f>
        <v>4.0487590000000004E-2</v>
      </c>
      <c r="C216">
        <f>((merged!D217/merged!D216-1)*100)/100</f>
        <v>-2.6791569758065847E-2</v>
      </c>
      <c r="D216">
        <v>2.14</v>
      </c>
      <c r="E216">
        <v>0.45</v>
      </c>
      <c r="F216">
        <v>0.31</v>
      </c>
    </row>
    <row r="217" spans="1:6" x14ac:dyDescent="0.2">
      <c r="A217" s="1">
        <v>42734</v>
      </c>
      <c r="B217">
        <f>((_xlfn.XLOOKUP(A217,merged!A:A,merged!C:C))*100)/100</f>
        <v>1.876276E-2</v>
      </c>
      <c r="C217">
        <f>((merged!D218/merged!D217-1)*100)/100</f>
        <v>6.2562829798906705E-3</v>
      </c>
      <c r="D217">
        <v>2.4900000000000002</v>
      </c>
      <c r="E217">
        <v>0.51</v>
      </c>
      <c r="F217">
        <v>0.55000000000000004</v>
      </c>
    </row>
    <row r="218" spans="1:6" x14ac:dyDescent="0.2">
      <c r="A218" s="1">
        <v>42766</v>
      </c>
      <c r="B218">
        <f>((_xlfn.XLOOKUP(A218,merged!A:A,merged!C:C))*100)/100</f>
        <v>2.2153329999999999E-2</v>
      </c>
      <c r="C218">
        <f>((merged!D219/merged!D218-1)*100)/100</f>
        <v>4.1022300615518592E-3</v>
      </c>
      <c r="D218">
        <v>2.4300000000000002</v>
      </c>
      <c r="E218">
        <v>0.51</v>
      </c>
      <c r="F218">
        <v>0.56000000000000005</v>
      </c>
    </row>
    <row r="219" spans="1:6" x14ac:dyDescent="0.2">
      <c r="A219" s="1">
        <v>42794</v>
      </c>
      <c r="B219">
        <f>((_xlfn.XLOOKUP(A219,merged!A:A,merged!C:C))*100)/100</f>
        <v>3.2598380000000003E-2</v>
      </c>
      <c r="C219">
        <f>((merged!D220/merged!D219-1)*100)/100</f>
        <v>1.131248929431794E-2</v>
      </c>
      <c r="D219">
        <v>2.42</v>
      </c>
      <c r="E219">
        <v>0.52</v>
      </c>
      <c r="F219">
        <v>0.56999999999999995</v>
      </c>
    </row>
    <row r="220" spans="1:6" x14ac:dyDescent="0.2">
      <c r="A220" s="1">
        <v>42825</v>
      </c>
      <c r="B220">
        <f>((_xlfn.XLOOKUP(A220,merged!A:A,merged!C:C))*100)/100</f>
        <v>2.061818E-3</v>
      </c>
      <c r="C220">
        <f>((merged!D221/merged!D220-1)*100)/100</f>
        <v>-1.2324724045104096E-3</v>
      </c>
      <c r="D220">
        <v>2.48</v>
      </c>
      <c r="E220">
        <v>0.74</v>
      </c>
      <c r="F220">
        <v>0.82</v>
      </c>
    </row>
    <row r="221" spans="1:6" x14ac:dyDescent="0.2">
      <c r="A221" s="1">
        <v>42853</v>
      </c>
      <c r="B221">
        <f>((_xlfn.XLOOKUP(A221,merged!A:A,merged!C:C))*100)/100</f>
        <v>9.6550310000000014E-3</v>
      </c>
      <c r="C221">
        <f>((merged!D222/merged!D221-1)*100)/100</f>
        <v>9.9765829932636496E-3</v>
      </c>
      <c r="D221">
        <v>2.2999999999999998</v>
      </c>
      <c r="E221">
        <v>0.8</v>
      </c>
      <c r="F221">
        <v>0.83</v>
      </c>
    </row>
    <row r="222" spans="1:6" x14ac:dyDescent="0.2">
      <c r="A222" s="1">
        <v>42886</v>
      </c>
      <c r="B222">
        <f>((_xlfn.XLOOKUP(A222,merged!A:A,merged!C:C))*100)/100</f>
        <v>9.3348040000000004E-3</v>
      </c>
      <c r="C222">
        <f>((merged!D223/merged!D222-1)*100)/100</f>
        <v>1.1624999106868428E-2</v>
      </c>
      <c r="D222">
        <v>2.2999999999999998</v>
      </c>
      <c r="E222">
        <v>0.89</v>
      </c>
      <c r="F222">
        <v>0.83</v>
      </c>
    </row>
    <row r="223" spans="1:6" x14ac:dyDescent="0.2">
      <c r="A223" s="1">
        <v>42916</v>
      </c>
      <c r="B223">
        <f>((_xlfn.XLOOKUP(A223,merged!A:A,merged!C:C))*100)/100</f>
        <v>9.570691000000001E-3</v>
      </c>
      <c r="C223">
        <f>((merged!D224/merged!D223-1)*100)/100</f>
        <v>2.4543733755226782E-3</v>
      </c>
      <c r="D223">
        <v>2.19</v>
      </c>
      <c r="E223">
        <v>0.98</v>
      </c>
      <c r="F223">
        <v>1.06</v>
      </c>
    </row>
    <row r="224" spans="1:6" x14ac:dyDescent="0.2">
      <c r="A224" s="1">
        <v>42947</v>
      </c>
      <c r="B224">
        <f>((_xlfn.XLOOKUP(A224,merged!A:A,merged!C:C))*100)/100</f>
        <v>2.0277440000000001E-2</v>
      </c>
      <c r="C224">
        <f>((merged!D225/merged!D224-1)*100)/100</f>
        <v>7.4719142685026885E-3</v>
      </c>
      <c r="D224">
        <v>2.3199999999999998</v>
      </c>
      <c r="E224">
        <v>1.07</v>
      </c>
      <c r="F224">
        <v>1.07</v>
      </c>
    </row>
    <row r="225" spans="1:6" x14ac:dyDescent="0.2">
      <c r="A225" s="1">
        <v>42978</v>
      </c>
      <c r="B225">
        <f>((_xlfn.XLOOKUP(A225,merged!A:A,merged!C:C))*100)/100</f>
        <v>1.6003310000000002E-3</v>
      </c>
      <c r="C225">
        <f>((merged!D226/merged!D225-1)*100)/100</f>
        <v>8.4690052590354892E-3</v>
      </c>
      <c r="D225">
        <v>2.21</v>
      </c>
      <c r="E225">
        <v>1.01</v>
      </c>
      <c r="F225">
        <v>1.07</v>
      </c>
    </row>
    <row r="226" spans="1:6" x14ac:dyDescent="0.2">
      <c r="A226" s="1">
        <v>43007</v>
      </c>
      <c r="B226">
        <f>((_xlfn.XLOOKUP(A226,merged!A:A,merged!C:C))*100)/100</f>
        <v>2.3729050000000002E-2</v>
      </c>
      <c r="C226">
        <f>((merged!D227/merged!D226-1)*100)/100</f>
        <v>-2.281505932608896E-3</v>
      </c>
      <c r="D226">
        <v>2.2000000000000002</v>
      </c>
      <c r="E226">
        <v>1.03</v>
      </c>
      <c r="F226">
        <v>1.06</v>
      </c>
    </row>
    <row r="227" spans="1:6" x14ac:dyDescent="0.2">
      <c r="A227" s="1">
        <v>43039</v>
      </c>
      <c r="B227">
        <f>((_xlfn.XLOOKUP(A227,merged!A:A,merged!C:C))*100)/100</f>
        <v>1.9274800000000002E-2</v>
      </c>
      <c r="C227">
        <f>((merged!D228/merged!D227-1)*100)/100</f>
        <v>4.0347804328788595E-3</v>
      </c>
      <c r="D227">
        <v>2.36</v>
      </c>
      <c r="E227">
        <v>1.07</v>
      </c>
      <c r="F227">
        <v>1.07</v>
      </c>
    </row>
    <row r="228" spans="1:6" x14ac:dyDescent="0.2">
      <c r="A228" s="1">
        <v>43069</v>
      </c>
      <c r="B228">
        <f>((_xlfn.XLOOKUP(A228,merged!A:A,merged!C:C))*100)/100</f>
        <v>2.7231450000000001E-2</v>
      </c>
      <c r="C228">
        <f>((merged!D229/merged!D228-1)*100)/100</f>
        <v>-1.4018254883025882E-3</v>
      </c>
      <c r="D228">
        <v>2.35</v>
      </c>
      <c r="E228">
        <v>1.23</v>
      </c>
      <c r="F228">
        <v>1.07</v>
      </c>
    </row>
    <row r="229" spans="1:6" x14ac:dyDescent="0.2">
      <c r="A229" s="1">
        <v>43098</v>
      </c>
      <c r="B229">
        <f>((_xlfn.XLOOKUP(A229,merged!A:A,merged!C:C))*100)/100</f>
        <v>1.2122349999999999E-2</v>
      </c>
      <c r="C229">
        <f>((merged!D230/merged!D229-1)*100)/100</f>
        <v>8.5267448631560772E-3</v>
      </c>
      <c r="D229">
        <v>2.4</v>
      </c>
      <c r="E229">
        <v>1.32</v>
      </c>
      <c r="F229">
        <v>1.33</v>
      </c>
    </row>
    <row r="230" spans="1:6" x14ac:dyDescent="0.2">
      <c r="A230" s="1">
        <v>43131</v>
      </c>
      <c r="B230">
        <f>((_xlfn.XLOOKUP(A230,merged!A:A,merged!C:C))*100)/100</f>
        <v>5.0576549999999998E-2</v>
      </c>
      <c r="C230">
        <f>((merged!D231/merged!D230-1)*100)/100</f>
        <v>-9.2416931304215577E-3</v>
      </c>
      <c r="D230">
        <v>2.58</v>
      </c>
      <c r="E230">
        <v>1.41</v>
      </c>
      <c r="F230">
        <v>1.34</v>
      </c>
    </row>
    <row r="231" spans="1:6" x14ac:dyDescent="0.2">
      <c r="A231" s="1">
        <v>43159</v>
      </c>
      <c r="B231">
        <f>((_xlfn.XLOOKUP(A231,merged!A:A,merged!C:C))*100)/100</f>
        <v>-3.9454500000000003E-2</v>
      </c>
      <c r="C231">
        <f>((merged!D232/merged!D231-1)*100)/100</f>
        <v>-1.4964877287312439E-2</v>
      </c>
      <c r="D231">
        <v>2.86</v>
      </c>
      <c r="E231">
        <v>1.57</v>
      </c>
      <c r="F231">
        <v>1.35</v>
      </c>
    </row>
    <row r="232" spans="1:6" x14ac:dyDescent="0.2">
      <c r="A232" s="1">
        <v>43188</v>
      </c>
      <c r="B232">
        <f>((_xlfn.XLOOKUP(A232,merged!A:A,merged!C:C))*100)/100</f>
        <v>-1.8421E-2</v>
      </c>
      <c r="C232">
        <f>((merged!D233/merged!D232-1)*100)/100</f>
        <v>2.1517039311735875E-3</v>
      </c>
      <c r="D232">
        <v>2.84</v>
      </c>
      <c r="E232">
        <v>1.7</v>
      </c>
      <c r="F232">
        <v>1.67</v>
      </c>
    </row>
    <row r="233" spans="1:6" x14ac:dyDescent="0.2">
      <c r="A233" s="1">
        <v>43220</v>
      </c>
      <c r="B233">
        <f>((_xlfn.XLOOKUP(A233,merged!A:A,merged!C:C))*100)/100</f>
        <v>4.6788350000000001E-3</v>
      </c>
      <c r="C233">
        <f>((merged!D234/merged!D233-1)*100)/100</f>
        <v>-8.518055184628115E-3</v>
      </c>
      <c r="D233">
        <v>2.87</v>
      </c>
      <c r="E233">
        <v>1.76</v>
      </c>
      <c r="F233">
        <v>1.69</v>
      </c>
    </row>
    <row r="234" spans="1:6" x14ac:dyDescent="0.2">
      <c r="A234" s="1">
        <v>43251</v>
      </c>
      <c r="B234">
        <f>((_xlfn.XLOOKUP(A234,merged!A:A,merged!C:C))*100)/100</f>
        <v>2.6145640000000001E-2</v>
      </c>
      <c r="C234">
        <f>((merged!D235/merged!D234-1)*100)/100</f>
        <v>4.5011837758905937E-3</v>
      </c>
      <c r="D234">
        <v>2.98</v>
      </c>
      <c r="E234">
        <v>1.86</v>
      </c>
      <c r="F234">
        <v>1.7</v>
      </c>
    </row>
    <row r="235" spans="1:6" x14ac:dyDescent="0.2">
      <c r="A235" s="1">
        <v>43280</v>
      </c>
      <c r="B235">
        <f>((_xlfn.XLOOKUP(A235,merged!A:A,merged!C:C))*100)/100</f>
        <v>5.3594790000000003E-3</v>
      </c>
      <c r="C235">
        <f>((merged!D236/merged!D235-1)*100)/100</f>
        <v>-5.3948584775843633E-3</v>
      </c>
      <c r="D235">
        <v>2.91</v>
      </c>
      <c r="E235">
        <v>1.9</v>
      </c>
      <c r="F235">
        <v>1.91</v>
      </c>
    </row>
    <row r="236" spans="1:6" x14ac:dyDescent="0.2">
      <c r="A236" s="1">
        <v>43312</v>
      </c>
      <c r="B236">
        <f>((_xlfn.XLOOKUP(A236,merged!A:A,merged!C:C))*100)/100</f>
        <v>3.157314E-2</v>
      </c>
      <c r="C236">
        <f>((merged!D237/merged!D236-1)*100)/100</f>
        <v>7.4071709076977132E-3</v>
      </c>
      <c r="D236">
        <v>2.89</v>
      </c>
      <c r="E236">
        <v>1.96</v>
      </c>
      <c r="F236">
        <v>1.91</v>
      </c>
    </row>
    <row r="237" spans="1:6" x14ac:dyDescent="0.2">
      <c r="A237" s="1">
        <v>43343</v>
      </c>
      <c r="B237">
        <f>((_xlfn.XLOOKUP(A237,merged!A:A,merged!C:C))*100)/100</f>
        <v>3.0233020000000003E-2</v>
      </c>
      <c r="C237">
        <f>((merged!D238/merged!D237-1)*100)/100</f>
        <v>5.4405814555402721E-3</v>
      </c>
      <c r="D237">
        <v>2.89</v>
      </c>
      <c r="E237">
        <v>2.0299999999999998</v>
      </c>
      <c r="F237">
        <v>1.91</v>
      </c>
    </row>
    <row r="238" spans="1:6" x14ac:dyDescent="0.2">
      <c r="A238" s="1">
        <v>43371</v>
      </c>
      <c r="B238">
        <f>((_xlfn.XLOOKUP(A238,merged!A:A,merged!C:C))*100)/100</f>
        <v>4.2462020000000002E-4</v>
      </c>
      <c r="C238">
        <f>((merged!D239/merged!D238-1)*100)/100</f>
        <v>-3.2536897331904013E-3</v>
      </c>
      <c r="D238">
        <v>3</v>
      </c>
      <c r="E238">
        <v>2.13</v>
      </c>
      <c r="F238">
        <v>2.1800000000000002</v>
      </c>
    </row>
    <row r="239" spans="1:6" x14ac:dyDescent="0.2">
      <c r="A239" s="1">
        <v>43404</v>
      </c>
      <c r="B239">
        <f>((_xlfn.XLOOKUP(A239,merged!A:A,merged!C:C))*100)/100</f>
        <v>-7.4045380000000008E-2</v>
      </c>
      <c r="C239">
        <f>((merged!D240/merged!D239-1)*100)/100</f>
        <v>-1.3510522043760687E-2</v>
      </c>
      <c r="D239">
        <v>3.15</v>
      </c>
      <c r="E239">
        <v>2.25</v>
      </c>
      <c r="F239">
        <v>2.2000000000000002</v>
      </c>
    </row>
    <row r="240" spans="1:6" x14ac:dyDescent="0.2">
      <c r="A240" s="1">
        <v>43434</v>
      </c>
      <c r="B240">
        <f>((_xlfn.XLOOKUP(A240,merged!A:A,merged!C:C))*100)/100</f>
        <v>1.851214E-2</v>
      </c>
      <c r="C240">
        <f>((merged!D241/merged!D240-1)*100)/100</f>
        <v>-1.909185461695273E-3</v>
      </c>
      <c r="D240">
        <v>3.12</v>
      </c>
      <c r="E240">
        <v>2.33</v>
      </c>
      <c r="F240">
        <v>2.2000000000000002</v>
      </c>
    </row>
    <row r="241" spans="1:6" x14ac:dyDescent="0.2">
      <c r="A241" s="1">
        <v>43465</v>
      </c>
      <c r="B241">
        <f>((_xlfn.XLOOKUP(A241,merged!A:A,merged!C:C))*100)/100</f>
        <v>-8.9890060000000022E-2</v>
      </c>
      <c r="C241">
        <f>((merged!D242/merged!D241-1)*100)/100</f>
        <v>1.5010063808830409E-2</v>
      </c>
      <c r="D241">
        <v>2.83</v>
      </c>
      <c r="E241">
        <v>2.37</v>
      </c>
      <c r="F241">
        <v>2.4</v>
      </c>
    </row>
    <row r="242" spans="1:6" x14ac:dyDescent="0.2">
      <c r="A242" s="1">
        <v>43496</v>
      </c>
      <c r="B242">
        <f>((_xlfn.XLOOKUP(A242,merged!A:A,merged!C:C))*100)/100</f>
        <v>8.8293910000000017E-2</v>
      </c>
      <c r="C242">
        <f>((merged!D243/merged!D242-1)*100)/100</f>
        <v>2.0933977455716679E-2</v>
      </c>
      <c r="D242">
        <v>2.71</v>
      </c>
      <c r="E242">
        <v>2.37</v>
      </c>
      <c r="F242">
        <v>2.4</v>
      </c>
    </row>
    <row r="243" spans="1:6" x14ac:dyDescent="0.2">
      <c r="A243" s="1">
        <v>43524</v>
      </c>
      <c r="B243">
        <f>((_xlfn.XLOOKUP(A243,merged!A:A,merged!C:C))*100)/100</f>
        <v>3.2724210000000004E-2</v>
      </c>
      <c r="C243">
        <f>((merged!D244/merged!D243-1)*100)/100</f>
        <v>3.595387985067422E-3</v>
      </c>
      <c r="D243">
        <v>2.68</v>
      </c>
      <c r="E243">
        <v>2.39</v>
      </c>
      <c r="F243">
        <v>2.4</v>
      </c>
    </row>
    <row r="244" spans="1:6" x14ac:dyDescent="0.2">
      <c r="A244" s="1">
        <v>43553</v>
      </c>
      <c r="B244">
        <f>((_xlfn.XLOOKUP(A244,merged!A:A,merged!C:C))*100)/100</f>
        <v>1.2962289999999998E-2</v>
      </c>
      <c r="C244">
        <f>((merged!D245/merged!D244-1)*100)/100</f>
        <v>2.4899113295083319E-2</v>
      </c>
      <c r="D244">
        <v>2.57</v>
      </c>
      <c r="E244">
        <v>2.4</v>
      </c>
      <c r="F244">
        <v>2.4300000000000002</v>
      </c>
    </row>
    <row r="245" spans="1:6" x14ac:dyDescent="0.2">
      <c r="A245" s="1">
        <v>43585</v>
      </c>
      <c r="B245">
        <f>((_xlfn.XLOOKUP(A245,merged!A:A,merged!C:C))*100)/100</f>
        <v>3.789327E-2</v>
      </c>
      <c r="C245">
        <f>((merged!D246/merged!D245-1)*100)/100</f>
        <v>5.5679809289119753E-3</v>
      </c>
      <c r="D245">
        <v>2.5299999999999998</v>
      </c>
      <c r="E245">
        <v>2.38</v>
      </c>
      <c r="F245">
        <v>2.4500000000000002</v>
      </c>
    </row>
    <row r="246" spans="1:6" x14ac:dyDescent="0.2">
      <c r="A246" s="1">
        <v>43616</v>
      </c>
      <c r="B246">
        <f>((_xlfn.XLOOKUP(A246,merged!A:A,merged!C:C))*100)/100</f>
        <v>-6.1678560000000007E-2</v>
      </c>
      <c r="C246">
        <f>((merged!D247/merged!D246-1)*100)/100</f>
        <v>1.4343982552815993E-2</v>
      </c>
      <c r="D246">
        <v>2.4</v>
      </c>
      <c r="E246">
        <v>2.35</v>
      </c>
      <c r="F246">
        <v>2.4</v>
      </c>
    </row>
    <row r="247" spans="1:6" x14ac:dyDescent="0.2">
      <c r="A247" s="1">
        <v>43644</v>
      </c>
      <c r="B247">
        <f>((_xlfn.XLOOKUP(A247,merged!A:A,merged!C:C))*100)/100</f>
        <v>6.7278859999999996E-2</v>
      </c>
      <c r="C247">
        <f>((merged!D248/merged!D247-1)*100)/100</f>
        <v>2.3000692613977636E-2</v>
      </c>
      <c r="D247">
        <v>2.0699999999999998</v>
      </c>
      <c r="E247">
        <v>2.17</v>
      </c>
      <c r="F247">
        <v>2.4</v>
      </c>
    </row>
    <row r="248" spans="1:6" x14ac:dyDescent="0.2">
      <c r="A248" s="1">
        <v>43677</v>
      </c>
      <c r="B248">
        <f>((_xlfn.XLOOKUP(A248,merged!A:A,merged!C:C))*100)/100</f>
        <v>1.1854390000000001E-2</v>
      </c>
      <c r="C248">
        <f>((merged!D249/merged!D248-1)*100)/100</f>
        <v>6.5522220439595547E-3</v>
      </c>
      <c r="D248">
        <v>2.06</v>
      </c>
      <c r="E248">
        <v>2.1</v>
      </c>
      <c r="F248">
        <v>2.4</v>
      </c>
    </row>
    <row r="249" spans="1:6" x14ac:dyDescent="0.2">
      <c r="A249" s="1">
        <v>43707</v>
      </c>
      <c r="B249">
        <f>((_xlfn.XLOOKUP(A249,merged!A:A,merged!C:C))*100)/100</f>
        <v>-2.0339360000000001E-2</v>
      </c>
      <c r="C249">
        <f>((merged!D250/merged!D249-1)*100)/100</f>
        <v>3.0360991035792928E-2</v>
      </c>
      <c r="D249">
        <v>1.63</v>
      </c>
      <c r="E249">
        <v>1.95</v>
      </c>
      <c r="F249">
        <v>2.13</v>
      </c>
    </row>
    <row r="250" spans="1:6" x14ac:dyDescent="0.2">
      <c r="A250" s="1">
        <v>43738</v>
      </c>
      <c r="B250">
        <f>((_xlfn.XLOOKUP(A250,merged!A:A,merged!C:C))*100)/100</f>
        <v>1.6033040000000002E-2</v>
      </c>
      <c r="C250">
        <f>((merged!D251/merged!D250-1)*100)/100</f>
        <v>-6.1847185782881731E-3</v>
      </c>
      <c r="D250">
        <v>1.7</v>
      </c>
      <c r="E250">
        <v>1.89</v>
      </c>
      <c r="F250">
        <v>1.9</v>
      </c>
    </row>
    <row r="251" spans="1:6" x14ac:dyDescent="0.2">
      <c r="A251" s="1">
        <v>43769</v>
      </c>
      <c r="B251">
        <f>((_xlfn.XLOOKUP(A251,merged!A:A,merged!C:C))*100)/100</f>
        <v>1.9257090000000001E-2</v>
      </c>
      <c r="C251">
        <f>((merged!D252/merged!D251-1)*100)/100</f>
        <v>6.1173599155710523E-3</v>
      </c>
      <c r="D251">
        <v>1.71</v>
      </c>
      <c r="E251">
        <v>1.65</v>
      </c>
      <c r="F251">
        <v>1.58</v>
      </c>
    </row>
    <row r="252" spans="1:6" x14ac:dyDescent="0.2">
      <c r="A252" s="1">
        <v>43798</v>
      </c>
      <c r="B252">
        <f>((_xlfn.XLOOKUP(A252,merged!A:A,merged!C:C))*100)/100</f>
        <v>3.4999010000000004E-2</v>
      </c>
      <c r="C252">
        <f>((merged!D253/merged!D252-1)*100)/100</f>
        <v>2.1659622132421674E-3</v>
      </c>
      <c r="D252">
        <v>1.81</v>
      </c>
      <c r="E252">
        <v>1.54</v>
      </c>
      <c r="F252">
        <v>1.56</v>
      </c>
    </row>
    <row r="253" spans="1:6" x14ac:dyDescent="0.2">
      <c r="A253" s="1">
        <v>43830</v>
      </c>
      <c r="B253">
        <f>((_xlfn.XLOOKUP(A253,merged!A:A,merged!C:C))*100)/100</f>
        <v>2.8488780000000002E-2</v>
      </c>
      <c r="C253">
        <f>((merged!D254/merged!D253-1)*100)/100</f>
        <v>3.1492951136524727E-3</v>
      </c>
      <c r="D253">
        <v>1.86</v>
      </c>
      <c r="E253">
        <v>1.54</v>
      </c>
      <c r="F253">
        <v>1.55</v>
      </c>
    </row>
    <row r="254" spans="1:6" x14ac:dyDescent="0.2">
      <c r="A254" s="1">
        <v>43861</v>
      </c>
      <c r="B254">
        <f>((_xlfn.XLOOKUP(A254,merged!A:A,merged!C:C))*100)/100</f>
        <v>-1.727854E-3</v>
      </c>
      <c r="C254">
        <f>((merged!D255/merged!D254-1)*100)/100</f>
        <v>2.3757933161383971E-2</v>
      </c>
      <c r="D254">
        <v>1.76</v>
      </c>
      <c r="E254">
        <v>1.52</v>
      </c>
      <c r="F254">
        <v>1.59</v>
      </c>
    </row>
    <row r="255" spans="1:6" x14ac:dyDescent="0.2">
      <c r="A255" s="1">
        <v>43889</v>
      </c>
      <c r="B255">
        <f>((_xlfn.XLOOKUP(A255,merged!A:A,merged!C:C))*100)/100</f>
        <v>-7.7917990000000006E-2</v>
      </c>
      <c r="C255">
        <f>((merged!D256/merged!D255-1)*100)/100</f>
        <v>1.2903574939646001E-2</v>
      </c>
      <c r="D255">
        <v>1.5</v>
      </c>
      <c r="E255">
        <v>1.52</v>
      </c>
      <c r="F255">
        <v>1.58</v>
      </c>
    </row>
    <row r="256" spans="1:6" x14ac:dyDescent="0.2">
      <c r="A256" s="1">
        <v>43921</v>
      </c>
      <c r="B256">
        <f>((_xlfn.XLOOKUP(A256,merged!A:A,merged!C:C))*100)/100</f>
        <v>-0.14173269999999999</v>
      </c>
      <c r="C256">
        <f>((merged!D257/merged!D256-1)*100)/100</f>
        <v>-7.4740363239174434E-2</v>
      </c>
      <c r="D256">
        <v>0.87</v>
      </c>
      <c r="E256">
        <v>0.28999999999999998</v>
      </c>
      <c r="F256">
        <v>0.08</v>
      </c>
    </row>
    <row r="257" spans="1:6" x14ac:dyDescent="0.2">
      <c r="A257" s="1">
        <v>43951</v>
      </c>
      <c r="B257">
        <f>((_xlfn.XLOOKUP(A257,merged!A:A,merged!C:C))*100)/100</f>
        <v>0.12967380000000001</v>
      </c>
      <c r="C257">
        <f>((merged!D258/merged!D257-1)*100)/100</f>
        <v>5.2727984294201447E-2</v>
      </c>
      <c r="D257">
        <v>0.66</v>
      </c>
      <c r="E257">
        <v>0.14000000000000001</v>
      </c>
      <c r="F257">
        <v>0.05</v>
      </c>
    </row>
    <row r="258" spans="1:6" x14ac:dyDescent="0.2">
      <c r="A258" s="1">
        <v>43980</v>
      </c>
      <c r="B258">
        <f>((_xlfn.XLOOKUP(A258,merged!A:A,merged!C:C))*100)/100</f>
        <v>5.3738750000000002E-2</v>
      </c>
      <c r="C258">
        <f>((merged!D259/merged!D258-1)*100)/100</f>
        <v>1.7481846243855959E-2</v>
      </c>
      <c r="D258">
        <v>0.67</v>
      </c>
      <c r="E258">
        <v>0.13</v>
      </c>
      <c r="F258">
        <v>0.05</v>
      </c>
    </row>
    <row r="259" spans="1:6" x14ac:dyDescent="0.2">
      <c r="A259" s="1">
        <v>44012</v>
      </c>
      <c r="B259">
        <f>((_xlfn.XLOOKUP(A259,merged!A:A,merged!C:C))*100)/100</f>
        <v>2.529909E-2</v>
      </c>
      <c r="C259">
        <f>((merged!D260/merged!D259-1)*100)/100</f>
        <v>2.0152378214227884E-2</v>
      </c>
      <c r="D259">
        <v>0.73</v>
      </c>
      <c r="E259">
        <v>0.16</v>
      </c>
      <c r="F259">
        <v>0.08</v>
      </c>
    </row>
    <row r="260" spans="1:6" x14ac:dyDescent="0.2">
      <c r="A260" s="1">
        <v>44043</v>
      </c>
      <c r="B260">
        <f>((_xlfn.XLOOKUP(A260,merged!A:A,merged!C:C))*100)/100</f>
        <v>5.5531490000000003E-2</v>
      </c>
      <c r="C260">
        <f>((merged!D261/merged!D260-1)*100)/100</f>
        <v>3.150586404802791E-2</v>
      </c>
      <c r="D260">
        <v>0.62</v>
      </c>
      <c r="E260">
        <v>0.13</v>
      </c>
      <c r="F260">
        <v>0.1</v>
      </c>
    </row>
    <row r="261" spans="1:6" x14ac:dyDescent="0.2">
      <c r="A261" s="1">
        <v>44074</v>
      </c>
      <c r="B261">
        <f>((_xlfn.XLOOKUP(A261,merged!A:A,merged!C:C))*100)/100</f>
        <v>6.8442199999999995E-2</v>
      </c>
      <c r="C261">
        <f>((merged!D262/merged!D261-1)*100)/100</f>
        <v>-1.1540639843810041E-2</v>
      </c>
      <c r="D261">
        <v>0.65</v>
      </c>
      <c r="E261">
        <v>0.1</v>
      </c>
      <c r="F261">
        <v>0.09</v>
      </c>
    </row>
    <row r="262" spans="1:6" x14ac:dyDescent="0.2">
      <c r="A262" s="1">
        <v>44104</v>
      </c>
      <c r="B262">
        <f>((_xlfn.XLOOKUP(A262,merged!A:A,merged!C:C))*100)/100</f>
        <v>-3.5055990000000002E-2</v>
      </c>
      <c r="C262">
        <f>((merged!D263/merged!D262-1)*100)/100</f>
        <v>-2.6402773298935811E-3</v>
      </c>
      <c r="D262">
        <v>0.68</v>
      </c>
      <c r="E262">
        <v>0.11</v>
      </c>
      <c r="F262">
        <v>0.09</v>
      </c>
    </row>
    <row r="263" spans="1:6" x14ac:dyDescent="0.2">
      <c r="A263" s="1">
        <v>44134</v>
      </c>
      <c r="B263">
        <f>((_xlfn.XLOOKUP(A263,merged!A:A,merged!C:C))*100)/100</f>
        <v>-2.0178310000000001E-2</v>
      </c>
      <c r="C263">
        <f>((merged!D264/merged!D263-1)*100)/100</f>
        <v>-1.7176922299686481E-3</v>
      </c>
      <c r="D263">
        <v>0.79</v>
      </c>
      <c r="E263">
        <v>0.1</v>
      </c>
      <c r="F263">
        <v>0.09</v>
      </c>
    </row>
    <row r="264" spans="1:6" x14ac:dyDescent="0.2">
      <c r="A264" s="1">
        <v>44165</v>
      </c>
      <c r="B264">
        <f>((_xlfn.XLOOKUP(A264,merged!A:A,merged!C:C))*100)/100</f>
        <v>0.123707</v>
      </c>
      <c r="C264">
        <f>((merged!D265/merged!D264-1)*100)/100</f>
        <v>2.6659919028340084E-2</v>
      </c>
      <c r="D264">
        <v>0.87</v>
      </c>
      <c r="E264">
        <v>0.09</v>
      </c>
      <c r="F264">
        <v>0.09</v>
      </c>
    </row>
    <row r="265" spans="1:6" x14ac:dyDescent="0.2">
      <c r="A265" s="1">
        <v>44196</v>
      </c>
      <c r="B265">
        <f>((_xlfn.XLOOKUP(A265,merged!A:A,merged!C:C))*100)/100</f>
        <v>4.5048299999999999E-2</v>
      </c>
      <c r="C265">
        <f>((merged!D266/merged!D265-1)*100)/100</f>
        <v>4.9124131384516989E-3</v>
      </c>
      <c r="D265">
        <v>0.93</v>
      </c>
      <c r="E265">
        <v>0.09</v>
      </c>
      <c r="F265">
        <v>0.09</v>
      </c>
    </row>
    <row r="266" spans="1:6" x14ac:dyDescent="0.2">
      <c r="A266" s="1">
        <v>44225</v>
      </c>
      <c r="B266">
        <f>((_xlfn.XLOOKUP(A266,merged!A:A,merged!C:C))*100)/100</f>
        <v>-6.3112699999999999E-4</v>
      </c>
      <c r="C266">
        <f>((merged!D267/merged!D266-1)*100)/100</f>
        <v>-1.219857440373584E-2</v>
      </c>
      <c r="D266">
        <v>1.08</v>
      </c>
      <c r="E266">
        <v>0.08</v>
      </c>
      <c r="F266">
        <v>7.0000000000000007E-2</v>
      </c>
    </row>
    <row r="267" spans="1:6" x14ac:dyDescent="0.2">
      <c r="A267" s="1">
        <v>44253</v>
      </c>
      <c r="B267">
        <f>((_xlfn.XLOOKUP(A267,merged!A:A,merged!C:C))*100)/100</f>
        <v>2.919625E-2</v>
      </c>
      <c r="C267">
        <f>((merged!D268/merged!D267-1)*100)/100</f>
        <v>-1.9556710772365204E-2</v>
      </c>
      <c r="D267">
        <v>1.26</v>
      </c>
      <c r="E267">
        <v>0.04</v>
      </c>
      <c r="F267">
        <v>7.0000000000000007E-2</v>
      </c>
    </row>
    <row r="268" spans="1:6" x14ac:dyDescent="0.2">
      <c r="A268" s="1">
        <v>44286</v>
      </c>
      <c r="B268">
        <f>((_xlfn.XLOOKUP(A268,merged!A:A,merged!C:C))*100)/100</f>
        <v>3.0573300000000005E-2</v>
      </c>
      <c r="C268">
        <f>((merged!D269/merged!D268-1)*100)/100</f>
        <v>-1.3868991285573284E-2</v>
      </c>
      <c r="D268">
        <v>1.61</v>
      </c>
      <c r="E268">
        <v>0.03</v>
      </c>
      <c r="F268">
        <v>0.06</v>
      </c>
    </row>
    <row r="269" spans="1:6" x14ac:dyDescent="0.2">
      <c r="A269" s="1">
        <v>44316</v>
      </c>
      <c r="B269">
        <f>((_xlfn.XLOOKUP(A269,merged!A:A,merged!C:C))*100)/100</f>
        <v>4.8190190000000001E-2</v>
      </c>
      <c r="C269">
        <f>((merged!D270/merged!D269-1)*100)/100</f>
        <v>1.1898088499003645E-2</v>
      </c>
      <c r="D269">
        <v>1.64</v>
      </c>
      <c r="E269">
        <v>0.02</v>
      </c>
      <c r="F269">
        <v>0.05</v>
      </c>
    </row>
    <row r="270" spans="1:6" x14ac:dyDescent="0.2">
      <c r="A270" s="1">
        <v>44344</v>
      </c>
      <c r="B270">
        <f>((_xlfn.XLOOKUP(A270,merged!A:A,merged!C:C))*100)/100</f>
        <v>7.0918620000000009E-3</v>
      </c>
      <c r="C270">
        <f>((merged!D271/merged!D270-1)*100)/100</f>
        <v>7.0218486517528156E-3</v>
      </c>
      <c r="D270">
        <v>1.62</v>
      </c>
      <c r="E270">
        <v>0.02</v>
      </c>
      <c r="F270">
        <v>0.05</v>
      </c>
    </row>
    <row r="271" spans="1:6" x14ac:dyDescent="0.2">
      <c r="A271" s="1">
        <v>44377</v>
      </c>
      <c r="B271">
        <f>((_xlfn.XLOOKUP(A271,merged!A:A,merged!C:C))*100)/100</f>
        <v>2.34218E-2</v>
      </c>
      <c r="C271">
        <f>((merged!D272/merged!D271-1)*100)/100</f>
        <v>1.6647369542802215E-2</v>
      </c>
      <c r="D271">
        <v>1.52</v>
      </c>
      <c r="E271">
        <v>0.04</v>
      </c>
      <c r="F271">
        <v>0.08</v>
      </c>
    </row>
    <row r="272" spans="1:6" x14ac:dyDescent="0.2">
      <c r="A272" s="1">
        <v>44407</v>
      </c>
      <c r="B272">
        <f>((_xlfn.XLOOKUP(A272,merged!A:A,merged!C:C))*100)/100</f>
        <v>1.1827799999999999E-2</v>
      </c>
      <c r="C272">
        <f>((merged!D273/merged!D272-1)*100)/100</f>
        <v>1.209410111563769E-2</v>
      </c>
      <c r="D272">
        <v>1.32</v>
      </c>
      <c r="E272">
        <v>0.05</v>
      </c>
      <c r="F272">
        <v>7.0000000000000007E-2</v>
      </c>
    </row>
    <row r="273" spans="1:6" x14ac:dyDescent="0.2">
      <c r="A273" s="1">
        <v>44439</v>
      </c>
      <c r="B273">
        <f>((_xlfn.XLOOKUP(A273,merged!A:A,merged!C:C))*100)/100</f>
        <v>2.7146369999999996E-2</v>
      </c>
      <c r="C273">
        <f>((merged!D274/merged!D273-1)*100)/100</f>
        <v>-1.9790007585703817E-3</v>
      </c>
      <c r="D273">
        <v>1.28</v>
      </c>
      <c r="E273">
        <v>0.05</v>
      </c>
      <c r="F273">
        <v>0.06</v>
      </c>
    </row>
    <row r="274" spans="1:6" x14ac:dyDescent="0.2">
      <c r="A274" s="1">
        <v>44469</v>
      </c>
      <c r="B274">
        <f>((_xlfn.XLOOKUP(A274,merged!A:A,merged!C:C))*100)/100</f>
        <v>-4.22434E-2</v>
      </c>
      <c r="C274">
        <f>((merged!D275/merged!D274-1)*100)/100</f>
        <v>-1.0570925327589298E-2</v>
      </c>
      <c r="D274">
        <v>1.37</v>
      </c>
      <c r="E274">
        <v>0.04</v>
      </c>
      <c r="F274">
        <v>0.06</v>
      </c>
    </row>
    <row r="275" spans="1:6" x14ac:dyDescent="0.2">
      <c r="A275" s="1">
        <v>44498</v>
      </c>
      <c r="B275">
        <f>((_xlfn.XLOOKUP(A275,merged!A:A,merged!C:C))*100)/100</f>
        <v>6.4650510000000008E-2</v>
      </c>
      <c r="C275">
        <f>((merged!D276/merged!D275-1)*100)/100</f>
        <v>2.4973424987597692E-3</v>
      </c>
      <c r="D275">
        <v>1.58</v>
      </c>
      <c r="E275">
        <v>0.05</v>
      </c>
      <c r="F275">
        <v>7.0000000000000007E-2</v>
      </c>
    </row>
    <row r="276" spans="1:6" x14ac:dyDescent="0.2">
      <c r="A276" s="1">
        <v>44530</v>
      </c>
      <c r="B276">
        <f>((_xlfn.XLOOKUP(A276,merged!A:A,merged!C:C))*100)/100</f>
        <v>-1.8350490000000001E-2</v>
      </c>
      <c r="C276">
        <f>((merged!D277/merged!D276-1)*100)/100</f>
        <v>9.1614450200205866E-4</v>
      </c>
      <c r="D276">
        <v>1.56</v>
      </c>
      <c r="E276">
        <v>0.05</v>
      </c>
      <c r="F276">
        <v>7.0000000000000007E-2</v>
      </c>
    </row>
    <row r="277" spans="1:6" x14ac:dyDescent="0.2">
      <c r="A277" s="1">
        <v>44561</v>
      </c>
      <c r="B277">
        <f>((_xlfn.XLOOKUP(A277,merged!A:A,merged!C:C))*100)/100</f>
        <v>3.3341229999999999E-2</v>
      </c>
      <c r="C277">
        <f>((merged!D278/merged!D277-1)*100)/100</f>
        <v>-1.7147861461099811E-3</v>
      </c>
      <c r="D277">
        <v>1.47</v>
      </c>
      <c r="E277">
        <v>0.06</v>
      </c>
      <c r="F277">
        <v>7.0000000000000007E-2</v>
      </c>
    </row>
    <row r="278" spans="1:6" x14ac:dyDescent="0.2">
      <c r="A278" s="1">
        <v>44592</v>
      </c>
      <c r="B278">
        <f>((_xlfn.XLOOKUP(A278,merged!A:A,merged!C:C))*100)/100</f>
        <v>-5.9822460000000001E-2</v>
      </c>
      <c r="C278">
        <f>((merged!D279/merged!D278-1)*100)/100</f>
        <v>-3.1247435429418768E-2</v>
      </c>
      <c r="D278">
        <v>1.76</v>
      </c>
      <c r="E278">
        <v>0.15</v>
      </c>
      <c r="F278">
        <v>0.08</v>
      </c>
    </row>
    <row r="279" spans="1:6" x14ac:dyDescent="0.2">
      <c r="A279" s="1">
        <v>44620</v>
      </c>
      <c r="B279">
        <f>((_xlfn.XLOOKUP(A279,merged!A:A,merged!C:C))*100)/100</f>
        <v>-2.183775E-2</v>
      </c>
      <c r="C279">
        <f>((merged!D280/merged!D279-1)*100)/100</f>
        <v>-2.1809301523963653E-2</v>
      </c>
      <c r="D279">
        <v>1.93</v>
      </c>
      <c r="E279">
        <v>0.33</v>
      </c>
      <c r="F279">
        <v>0.08</v>
      </c>
    </row>
    <row r="280" spans="1:6" x14ac:dyDescent="0.2">
      <c r="A280" s="1">
        <v>44651</v>
      </c>
      <c r="B280">
        <f>((_xlfn.XLOOKUP(A280,merged!A:A,merged!C:C))*100)/100</f>
        <v>3.050572E-2</v>
      </c>
      <c r="C280">
        <f>((merged!D281/merged!D280-1)*100)/100</f>
        <v>-2.638973914861209E-2</v>
      </c>
      <c r="D280">
        <v>2.13</v>
      </c>
      <c r="E280">
        <v>0.44</v>
      </c>
      <c r="F280">
        <v>0.33</v>
      </c>
    </row>
    <row r="281" spans="1:6" x14ac:dyDescent="0.2">
      <c r="A281" s="1">
        <v>44680</v>
      </c>
      <c r="B281">
        <f>((_xlfn.XLOOKUP(A281,merged!A:A,merged!C:C))*100)/100</f>
        <v>-8.9386840000000009E-2</v>
      </c>
      <c r="C281">
        <f>((merged!D282/merged!D281-1)*100)/100</f>
        <v>-4.9716588759247671E-2</v>
      </c>
      <c r="D281">
        <v>2.75</v>
      </c>
      <c r="E281">
        <v>0.76</v>
      </c>
      <c r="F281">
        <v>0.33</v>
      </c>
    </row>
    <row r="282" spans="1:6" x14ac:dyDescent="0.2">
      <c r="A282" s="1">
        <v>44712</v>
      </c>
      <c r="B282">
        <f>((_xlfn.XLOOKUP(A282,merged!A:A,merged!C:C))*100)/100</f>
        <v>-2.1129410000000001E-3</v>
      </c>
      <c r="C282">
        <f>((merged!D283/merged!D282-1)*100)/100</f>
        <v>5.3515116890829884E-3</v>
      </c>
      <c r="D282">
        <v>2.9</v>
      </c>
      <c r="E282">
        <v>0.98</v>
      </c>
      <c r="F282">
        <v>0.83</v>
      </c>
    </row>
    <row r="283" spans="1:6" x14ac:dyDescent="0.2">
      <c r="A283" s="1">
        <v>44742</v>
      </c>
      <c r="B283">
        <f>((_xlfn.XLOOKUP(A283,merged!A:A,merged!C:C))*100)/100</f>
        <v>-8.3997500000000003E-2</v>
      </c>
      <c r="C283">
        <f>((merged!D284/merged!D283-1)*100)/100</f>
        <v>-2.3500932653133244E-2</v>
      </c>
      <c r="D283">
        <v>3.14</v>
      </c>
      <c r="E283">
        <v>1.49</v>
      </c>
      <c r="F283">
        <v>1.58</v>
      </c>
    </row>
    <row r="284" spans="1:6" x14ac:dyDescent="0.2">
      <c r="A284" s="1">
        <v>44771</v>
      </c>
      <c r="B284">
        <f>((_xlfn.XLOOKUP(A284,merged!A:A,merged!C:C))*100)/100</f>
        <v>9.0350750000000007E-2</v>
      </c>
      <c r="C284">
        <f>((merged!D285/merged!D284-1)*100)/100</f>
        <v>2.9488060442468766E-2</v>
      </c>
      <c r="D284">
        <v>2.9</v>
      </c>
      <c r="E284">
        <v>2.23</v>
      </c>
      <c r="F284">
        <v>2.3199999999999998</v>
      </c>
    </row>
    <row r="285" spans="1:6" x14ac:dyDescent="0.2">
      <c r="A285" s="1">
        <v>44804</v>
      </c>
      <c r="B285">
        <f>((_xlfn.XLOOKUP(A285,merged!A:A,merged!C:C))*100)/100</f>
        <v>-3.6233059999999997E-2</v>
      </c>
      <c r="C285">
        <f>((merged!D286/merged!D285-1)*100)/100</f>
        <v>-2.6612290260150995E-2</v>
      </c>
      <c r="D285">
        <v>2.9</v>
      </c>
      <c r="E285">
        <v>2.63</v>
      </c>
      <c r="F285">
        <v>2.33</v>
      </c>
    </row>
    <row r="286" spans="1:6" x14ac:dyDescent="0.2">
      <c r="A286" s="1">
        <v>44834</v>
      </c>
      <c r="B286">
        <f>((_xlfn.XLOOKUP(A286,merged!A:A,merged!C:C))*100)/100</f>
        <v>-9.1323000000000001E-2</v>
      </c>
      <c r="C286">
        <f>((merged!D287/merged!D286-1)*100)/100</f>
        <v>-5.3081927734560781E-2</v>
      </c>
      <c r="D286">
        <v>3.52</v>
      </c>
      <c r="E286">
        <v>3.13</v>
      </c>
      <c r="F286">
        <v>3.08</v>
      </c>
    </row>
    <row r="287" spans="1:6" x14ac:dyDescent="0.2">
      <c r="A287" s="1">
        <v>44865</v>
      </c>
      <c r="B287">
        <f>((_xlfn.XLOOKUP(A287,merged!A:A,merged!C:C))*100)/100</f>
        <v>7.7393619999999996E-2</v>
      </c>
      <c r="C287">
        <f>((merged!D288/merged!D287-1)*100)/100</f>
        <v>-1.1146375435703071E-2</v>
      </c>
      <c r="D287">
        <v>3.98</v>
      </c>
      <c r="E287">
        <v>3.72</v>
      </c>
      <c r="F287">
        <v>3.08</v>
      </c>
    </row>
    <row r="288" spans="1:6" x14ac:dyDescent="0.2">
      <c r="A288" s="1">
        <v>44895</v>
      </c>
      <c r="B288">
        <f>((_xlfn.XLOOKUP(A288,merged!A:A,merged!C:C))*100)/100</f>
        <v>5.2353909999999997E-2</v>
      </c>
      <c r="C288">
        <f>((merged!D289/merged!D288-1)*100)/100</f>
        <v>4.9173607290896593E-2</v>
      </c>
      <c r="D288">
        <v>3.89</v>
      </c>
      <c r="E288">
        <v>4.1500000000000004</v>
      </c>
      <c r="F288">
        <v>3.83</v>
      </c>
    </row>
    <row r="289" spans="1:6" x14ac:dyDescent="0.2">
      <c r="A289" s="1">
        <v>44925</v>
      </c>
      <c r="B289">
        <f>((_xlfn.XLOOKUP(A289,merged!A:A,merged!C:C))*100)/100</f>
        <v>-5.7119460000000004E-2</v>
      </c>
      <c r="C289">
        <f>((merged!D290/merged!D289-1)*100)/100</f>
        <v>-2.1173492390568205E-3</v>
      </c>
      <c r="D289">
        <v>3.62</v>
      </c>
      <c r="E289">
        <v>4.25</v>
      </c>
      <c r="F289">
        <v>4.33</v>
      </c>
    </row>
    <row r="290" spans="1:6" x14ac:dyDescent="0.2">
      <c r="A290" s="1">
        <v>44957</v>
      </c>
      <c r="B290">
        <f>((_xlfn.XLOOKUP(A290,merged!A:A,merged!C:C))*100)/100</f>
        <v>7.1823220000000007E-2</v>
      </c>
      <c r="C290">
        <f>((merged!D291/merged!D290-1)*100)/100</f>
        <v>3.8889279343500949E-2</v>
      </c>
      <c r="D290">
        <v>3.53</v>
      </c>
      <c r="E290">
        <v>4.54</v>
      </c>
      <c r="F290">
        <v>4.33</v>
      </c>
    </row>
    <row r="291" spans="1:6" x14ac:dyDescent="0.2">
      <c r="A291" s="1">
        <v>44985</v>
      </c>
      <c r="B291">
        <f>((_xlfn.XLOOKUP(A291,merged!A:A,merged!C:C))*100)/100</f>
        <v>-2.466602E-2</v>
      </c>
      <c r="C291">
        <f>((merged!D292/merged!D291-1)*100)/100</f>
        <v>-2.9128559325036996E-2</v>
      </c>
      <c r="D291">
        <v>3.75</v>
      </c>
      <c r="E291">
        <v>4.6500000000000004</v>
      </c>
      <c r="F291">
        <v>4.57</v>
      </c>
    </row>
    <row r="292" spans="1:6" x14ac:dyDescent="0.2">
      <c r="A292" s="1">
        <v>45016</v>
      </c>
      <c r="B292">
        <f>((_xlfn.XLOOKUP(A292,merged!A:A,merged!C:C))*100)/100</f>
        <v>2.39498E-2</v>
      </c>
      <c r="C292">
        <f>((merged!D293/merged!D292-1)*100)/100</f>
        <v>2.5629199502281041E-2</v>
      </c>
      <c r="D292">
        <v>3.66</v>
      </c>
      <c r="E292">
        <v>4.6900000000000004</v>
      </c>
      <c r="F292">
        <v>4.83</v>
      </c>
    </row>
    <row r="293" spans="1:6" x14ac:dyDescent="0.2">
      <c r="A293" s="1">
        <v>45044</v>
      </c>
      <c r="B293">
        <f>((_xlfn.XLOOKUP(A293,merged!A:A,merged!C:C))*100)/100</f>
        <v>8.9755220000000014E-3</v>
      </c>
      <c r="C293">
        <f>((merged!D294/merged!D293-1)*100)/100</f>
        <v>8.4794839193915728E-3</v>
      </c>
      <c r="D293">
        <v>3.46</v>
      </c>
      <c r="E293">
        <v>4.92</v>
      </c>
      <c r="F293">
        <v>4.83</v>
      </c>
    </row>
    <row r="294" spans="1:6" x14ac:dyDescent="0.2">
      <c r="A294" s="1">
        <v>45077</v>
      </c>
      <c r="B294">
        <f>((_xlfn.XLOOKUP(A294,merged!A:A,merged!C:C))*100)/100</f>
        <v>7.0825210000000018E-4</v>
      </c>
      <c r="C294">
        <f>((merged!D295/merged!D294-1)*100)/100</f>
        <v>-1.3284357756961351E-2</v>
      </c>
      <c r="D294">
        <v>3.57</v>
      </c>
      <c r="E294">
        <v>5.14</v>
      </c>
      <c r="F294">
        <v>5.08</v>
      </c>
    </row>
    <row r="295" spans="1:6" x14ac:dyDescent="0.2">
      <c r="A295" s="1">
        <v>45107</v>
      </c>
      <c r="B295">
        <f>((_xlfn.XLOOKUP(A295,merged!A:A,merged!C:C))*100)/100</f>
        <v>6.6182729999999995E-2</v>
      </c>
      <c r="C295">
        <f>((merged!D296/merged!D295-1)*100)/100</f>
        <v>2.8447975967149652E-3</v>
      </c>
      <c r="D295">
        <v>3.75</v>
      </c>
      <c r="E295">
        <v>5.16</v>
      </c>
      <c r="F295">
        <v>5.08</v>
      </c>
    </row>
    <row r="296" spans="1:6" x14ac:dyDescent="0.2">
      <c r="A296" s="1">
        <v>45138</v>
      </c>
      <c r="B296">
        <f>((_xlfn.XLOOKUP(A296,merged!A:A,merged!C:C))*100)/100</f>
        <v>3.5617500000000003E-2</v>
      </c>
      <c r="C296">
        <f>((merged!D297/merged!D296-1)*100)/100</f>
        <v>4.334519895997424E-3</v>
      </c>
      <c r="D296">
        <v>3.9</v>
      </c>
      <c r="E296">
        <v>5.25</v>
      </c>
      <c r="F296">
        <v>5.33</v>
      </c>
    </row>
    <row r="297" spans="1:6" x14ac:dyDescent="0.2">
      <c r="A297" s="1">
        <v>45169</v>
      </c>
      <c r="B297">
        <f>((_xlfn.XLOOKUP(A297,merged!A:A,merged!C:C))*100)/100</f>
        <v>-2.0608420000000002E-2</v>
      </c>
      <c r="C297">
        <f>((merged!D298/merged!D297-1)*100)/100</f>
        <v>-6.8271834882225324E-3</v>
      </c>
      <c r="D297">
        <v>4.17</v>
      </c>
      <c r="E297">
        <v>5.3</v>
      </c>
      <c r="F297">
        <v>5.33</v>
      </c>
    </row>
    <row r="298" spans="1:6" x14ac:dyDescent="0.2">
      <c r="A298" s="1">
        <v>45198</v>
      </c>
      <c r="B298">
        <f>((_xlfn.XLOOKUP(A298,merged!A:A,merged!C:C))*100)/100</f>
        <v>-4.7390479999999992E-2</v>
      </c>
      <c r="C298">
        <f>((merged!D299/merged!D298-1)*100)/100</f>
        <v>-2.449654831706094E-2</v>
      </c>
      <c r="D298">
        <v>4.38</v>
      </c>
      <c r="E298">
        <v>5.32</v>
      </c>
      <c r="F298">
        <v>5.33</v>
      </c>
    </row>
    <row r="299" spans="1:6" x14ac:dyDescent="0.2">
      <c r="A299" s="1">
        <v>45230</v>
      </c>
      <c r="B299">
        <f>((_xlfn.XLOOKUP(A299,merged!A:A,merged!C:C))*100)/100</f>
        <v>-2.8864860000000003E-2</v>
      </c>
      <c r="C299">
        <f>((merged!D300/merged!D299-1)*100)/100</f>
        <v>-1.8201566607471742E-2</v>
      </c>
      <c r="D299">
        <v>4.8</v>
      </c>
      <c r="E299">
        <v>5.34</v>
      </c>
      <c r="F299">
        <v>5.33</v>
      </c>
    </row>
    <row r="300" spans="1:6" x14ac:dyDescent="0.2">
      <c r="A300" s="1">
        <v>45260</v>
      </c>
      <c r="B300">
        <f>((_xlfn.XLOOKUP(A300,merged!A:A,merged!C:C))*100)/100</f>
        <v>9.2052859999999986E-2</v>
      </c>
      <c r="C300">
        <f>((merged!D301/merged!D300-1)*100)/100</f>
        <v>5.6407715592718732E-2</v>
      </c>
      <c r="D300">
        <v>4.5</v>
      </c>
      <c r="E300">
        <v>5.27</v>
      </c>
      <c r="F300">
        <v>5.33</v>
      </c>
    </row>
    <row r="301" spans="1:6" x14ac:dyDescent="0.2">
      <c r="A301" s="1">
        <v>45289</v>
      </c>
      <c r="B301">
        <f>((_xlfn.XLOOKUP(A301,merged!A:A,merged!C:C))*100)/100</f>
        <v>5.3603509999999993E-2</v>
      </c>
      <c r="C301">
        <f>((merged!D302/merged!D301-1)*100)/100</f>
        <v>4.0446774473334113E-2</v>
      </c>
      <c r="D301">
        <v>4.0199999999999996</v>
      </c>
      <c r="E301">
        <v>5.24</v>
      </c>
      <c r="F301">
        <v>5.33</v>
      </c>
    </row>
    <row r="302" spans="1:6" x14ac:dyDescent="0.2">
      <c r="A302" s="1">
        <v>45322</v>
      </c>
      <c r="B302">
        <f>((_xlfn.XLOOKUP(A302,merged!A:A,merged!C:C))*100)/100</f>
        <v>7.5605580000000002E-3</v>
      </c>
      <c r="C302">
        <f>((merged!D303/merged!D302-1)*100)/100</f>
        <v>1.4819892000037527E-3</v>
      </c>
      <c r="D302">
        <v>4.0599999999999996</v>
      </c>
      <c r="E302">
        <v>5.22</v>
      </c>
      <c r="F302">
        <v>5.33</v>
      </c>
    </row>
    <row r="303" spans="1:6" x14ac:dyDescent="0.2">
      <c r="A303" s="1">
        <v>45351</v>
      </c>
      <c r="B303">
        <f>((_xlfn.XLOOKUP(A303,merged!A:A,merged!C:C))*100)/100</f>
        <v>5.0583460000000004E-2</v>
      </c>
      <c r="C303">
        <f>((merged!D304/merged!D303-1)*100)/100</f>
        <v>-1.3971742059198045E-2</v>
      </c>
      <c r="D303">
        <v>4.21</v>
      </c>
      <c r="E303">
        <v>5.24</v>
      </c>
      <c r="F303">
        <v>5.33</v>
      </c>
    </row>
    <row r="304" spans="1:6" x14ac:dyDescent="0.2">
      <c r="A304" s="1">
        <v>45379</v>
      </c>
      <c r="B304">
        <f>((_xlfn.XLOOKUP(A304,merged!A:A,merged!C:C))*100)/100</f>
        <v>3.2449940000000004E-2</v>
      </c>
      <c r="C304">
        <f>((merged!D305/merged!D304-1)*100)/100</f>
        <v>1.1856039169952259E-2</v>
      </c>
      <c r="D304">
        <v>4.21</v>
      </c>
      <c r="E304">
        <v>5.24</v>
      </c>
      <c r="F304">
        <v>5.33</v>
      </c>
    </row>
    <row r="305" spans="1:6" x14ac:dyDescent="0.2">
      <c r="A305" s="1">
        <v>45412</v>
      </c>
      <c r="B305">
        <f>((_xlfn.XLOOKUP(A305,merged!A:A,merged!C:C))*100)/100</f>
        <v>-4.2723950000000004E-2</v>
      </c>
      <c r="C305">
        <f>((merged!D306/merged!D305-1)*100)/100</f>
        <v>-2.3279743162695654E-2</v>
      </c>
      <c r="D305">
        <v>4.54</v>
      </c>
      <c r="E305">
        <v>5.24</v>
      </c>
      <c r="F305">
        <v>5.33</v>
      </c>
    </row>
    <row r="306" spans="1:6" x14ac:dyDescent="0.2">
      <c r="A306" s="1">
        <v>45443</v>
      </c>
      <c r="B306">
        <f>((_xlfn.XLOOKUP(A306,merged!A:A,merged!C:C))*100)/100</f>
        <v>4.6552569999999995E-2</v>
      </c>
      <c r="C306">
        <f>((merged!D307/merged!D306-1)*100)/100</f>
        <v>1.8532403233205264E-2</v>
      </c>
      <c r="D306">
        <v>4.4800000000000004</v>
      </c>
      <c r="E306">
        <v>5.25</v>
      </c>
      <c r="F306">
        <v>5.33</v>
      </c>
    </row>
    <row r="307" spans="1:6" x14ac:dyDescent="0.2">
      <c r="A307" s="1">
        <v>45471</v>
      </c>
      <c r="B307">
        <f>((_xlfn.XLOOKUP(A307,merged!A:A,merged!C:C))*100)/100</f>
        <v>2.6072830000000002E-2</v>
      </c>
      <c r="C307">
        <f>((merged!D308/merged!D307-1)*100)/100</f>
        <v>6.3829192459767814E-3</v>
      </c>
      <c r="D307">
        <v>4.3099999999999996</v>
      </c>
      <c r="E307">
        <v>5.24</v>
      </c>
      <c r="F307">
        <v>5.33</v>
      </c>
    </row>
    <row r="308" spans="1:6" x14ac:dyDescent="0.2">
      <c r="A308" s="1">
        <v>45504</v>
      </c>
      <c r="B308">
        <f>((_xlfn.XLOOKUP(A308,merged!A:A,merged!C:C))*100)/100</f>
        <v>1.9878110000000001E-2</v>
      </c>
      <c r="C308">
        <f>((merged!D309/merged!D308-1)*100)/100</f>
        <v>2.3635218883484299E-2</v>
      </c>
      <c r="D308">
        <v>4.25</v>
      </c>
      <c r="E308">
        <v>5.2</v>
      </c>
      <c r="F308">
        <v>5.33</v>
      </c>
    </row>
    <row r="309" spans="1:6" x14ac:dyDescent="0.2">
      <c r="A309" s="1">
        <v>45534</v>
      </c>
      <c r="B309">
        <f>((_xlfn.XLOOKUP(A309,merged!A:A,merged!C:C))*100)/100</f>
        <v>2.1572150000000002E-2</v>
      </c>
      <c r="C309">
        <f>((merged!D310/merged!D309-1)*100)/100</f>
        <v>1.5322643864610797E-2</v>
      </c>
      <c r="D309">
        <v>3.87</v>
      </c>
      <c r="E309">
        <v>5.05</v>
      </c>
      <c r="F309">
        <v>5.33</v>
      </c>
    </row>
    <row r="310" spans="1:6" x14ac:dyDescent="0.2">
      <c r="A310" s="1">
        <v>45565</v>
      </c>
      <c r="B310">
        <f>((_xlfn.XLOOKUP(A310,merged!A:A,merged!C:C))*100)/100</f>
        <v>2.0969419999999999E-2</v>
      </c>
      <c r="C310">
        <f>((merged!D311/merged!D310-1)*100)/100</f>
        <v>1.7229500991839508E-2</v>
      </c>
      <c r="D310">
        <v>3.72</v>
      </c>
      <c r="E310">
        <v>4.72</v>
      </c>
      <c r="F310">
        <v>4.83</v>
      </c>
    </row>
    <row r="311" spans="1:6" x14ac:dyDescent="0.2">
      <c r="A311" s="1">
        <v>45596</v>
      </c>
      <c r="B311">
        <f>((_xlfn.XLOOKUP(A311,merged!A:A,merged!C:C))*100)/100</f>
        <v>-8.2982180000000013E-3</v>
      </c>
      <c r="C311">
        <f>((merged!D312/merged!D311-1)*100)/100</f>
        <v>-2.2495985987447065E-2</v>
      </c>
      <c r="D311">
        <v>4.0999999999999996</v>
      </c>
      <c r="E311">
        <v>4.51</v>
      </c>
      <c r="F311">
        <v>4.83</v>
      </c>
    </row>
    <row r="312" spans="1:6" x14ac:dyDescent="0.2">
      <c r="A312" s="1">
        <v>45625</v>
      </c>
      <c r="B312">
        <f>((_xlfn.XLOOKUP(A312,merged!A:A,merged!C:C))*100)/100</f>
        <v>6.4854679999999998E-2</v>
      </c>
      <c r="C312">
        <f>((merged!D313/merged!D312-1)*100)/100</f>
        <v>1.1957807217689354E-2</v>
      </c>
      <c r="D312">
        <v>4.3600000000000003</v>
      </c>
      <c r="E312">
        <v>4.42</v>
      </c>
      <c r="F312">
        <v>4.58</v>
      </c>
    </row>
    <row r="313" spans="1:6" x14ac:dyDescent="0.2">
      <c r="A313" s="1">
        <v>45657</v>
      </c>
      <c r="B313">
        <f>((_xlfn.XLOOKUP(A313,merged!A:A,merged!C:C))*100)/100</f>
        <v>-3.1582409999999998E-2</v>
      </c>
      <c r="C313">
        <f>((merged!D314/merged!D313-1)*100)/100</f>
        <v>-1.776017565398047E-2</v>
      </c>
      <c r="D313">
        <v>4.3899999999999997</v>
      </c>
      <c r="E313">
        <v>4.2699999999999996</v>
      </c>
      <c r="F313">
        <v>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0533-2395-8241-B9C3-C6B2C1F52F13}">
  <dimension ref="A1:M314"/>
  <sheetViews>
    <sheetView zoomScaleNormal="100" workbookViewId="0">
      <selection activeCell="M2" sqref="M2"/>
    </sheetView>
  </sheetViews>
  <sheetFormatPr baseColWidth="10" defaultRowHeight="15" x14ac:dyDescent="0.2"/>
  <cols>
    <col min="1" max="2" width="10.1640625" bestFit="1" customWidth="1"/>
    <col min="3" max="3" width="16.5" bestFit="1" customWidth="1"/>
    <col min="4" max="4" width="19" bestFit="1" customWidth="1"/>
    <col min="6" max="6" width="9.33203125" bestFit="1" customWidth="1"/>
    <col min="7" max="7" width="19.5" bestFit="1" customWidth="1"/>
    <col min="8" max="8" width="8" bestFit="1" customWidth="1"/>
    <col min="11" max="11" width="21.6640625" bestFit="1" customWidth="1"/>
    <col min="12" max="12" width="24.6640625" bestFit="1" customWidth="1"/>
  </cols>
  <sheetData>
    <row r="1" spans="1:13" x14ac:dyDescent="0.2">
      <c r="A1" t="s">
        <v>22</v>
      </c>
      <c r="B1" t="s">
        <v>2</v>
      </c>
      <c r="C1" t="s">
        <v>24</v>
      </c>
      <c r="D1" t="s">
        <v>23</v>
      </c>
      <c r="E1" t="s">
        <v>18</v>
      </c>
      <c r="F1" t="s">
        <v>19</v>
      </c>
      <c r="G1" t="s">
        <v>20</v>
      </c>
      <c r="H1" t="s">
        <v>21</v>
      </c>
      <c r="K1" t="s">
        <v>37</v>
      </c>
      <c r="L1" t="s">
        <v>31</v>
      </c>
      <c r="M1" t="s">
        <v>38</v>
      </c>
    </row>
    <row r="2" spans="1:13" x14ac:dyDescent="0.2">
      <c r="A2" s="1">
        <f>A3-29</f>
        <v>36160</v>
      </c>
      <c r="B2" s="1">
        <f>A2-30</f>
        <v>36130</v>
      </c>
      <c r="C2" t="s">
        <v>32</v>
      </c>
      <c r="D2">
        <v>1017.16</v>
      </c>
      <c r="E2" t="s">
        <v>32</v>
      </c>
      <c r="F2" t="s">
        <v>32</v>
      </c>
      <c r="G2" s="6">
        <v>164.4</v>
      </c>
      <c r="H2" t="s">
        <v>32</v>
      </c>
      <c r="K2" t="s">
        <v>27</v>
      </c>
      <c r="L2" t="s">
        <v>24</v>
      </c>
      <c r="M2" t="s">
        <v>39</v>
      </c>
    </row>
    <row r="3" spans="1:13" x14ac:dyDescent="0.2">
      <c r="A3" s="1">
        <v>36189</v>
      </c>
      <c r="B3" s="1">
        <v>36161</v>
      </c>
      <c r="C3">
        <v>3.8446760000000003E-2</v>
      </c>
      <c r="D3">
        <v>1027.55</v>
      </c>
      <c r="E3">
        <v>4.72</v>
      </c>
      <c r="F3">
        <v>4.34</v>
      </c>
      <c r="G3" s="6">
        <v>164.7</v>
      </c>
      <c r="H3">
        <v>4.79</v>
      </c>
      <c r="K3" t="s">
        <v>28</v>
      </c>
      <c r="L3" t="s">
        <v>23</v>
      </c>
      <c r="M3" t="s">
        <v>40</v>
      </c>
    </row>
    <row r="4" spans="1:13" x14ac:dyDescent="0.2">
      <c r="A4" s="1">
        <v>36217</v>
      </c>
      <c r="B4" s="1">
        <v>36192</v>
      </c>
      <c r="C4">
        <v>-3.8082610000000003E-2</v>
      </c>
      <c r="D4">
        <v>1001.24</v>
      </c>
      <c r="E4">
        <v>5</v>
      </c>
      <c r="F4">
        <v>4.4400000000000004</v>
      </c>
      <c r="G4" s="6">
        <v>164.7</v>
      </c>
      <c r="H4">
        <v>4.84</v>
      </c>
      <c r="K4" t="s">
        <v>33</v>
      </c>
      <c r="L4" t="s">
        <v>18</v>
      </c>
      <c r="M4" t="s">
        <v>40</v>
      </c>
    </row>
    <row r="5" spans="1:13" x14ac:dyDescent="0.2">
      <c r="A5" s="1">
        <v>36250</v>
      </c>
      <c r="B5" s="1">
        <v>36220</v>
      </c>
      <c r="C5">
        <v>3.7925470000000003E-2</v>
      </c>
      <c r="D5">
        <v>1010.34</v>
      </c>
      <c r="E5">
        <v>5.23</v>
      </c>
      <c r="F5">
        <v>4.4400000000000004</v>
      </c>
      <c r="G5" s="6">
        <v>164.8</v>
      </c>
      <c r="H5">
        <v>4.9800000000000004</v>
      </c>
      <c r="K5" t="s">
        <v>34</v>
      </c>
      <c r="L5" t="s">
        <v>19</v>
      </c>
      <c r="M5" t="s">
        <v>40</v>
      </c>
    </row>
    <row r="6" spans="1:13" x14ac:dyDescent="0.2">
      <c r="A6" s="1">
        <v>36280</v>
      </c>
      <c r="B6" s="1">
        <v>36251</v>
      </c>
      <c r="C6">
        <v>4.909202E-2</v>
      </c>
      <c r="D6">
        <v>1013.85</v>
      </c>
      <c r="E6">
        <v>5.18</v>
      </c>
      <c r="F6">
        <v>4.29</v>
      </c>
      <c r="G6" s="6">
        <v>165.9</v>
      </c>
      <c r="H6">
        <v>5.03</v>
      </c>
      <c r="K6" t="s">
        <v>35</v>
      </c>
      <c r="L6" t="s">
        <v>20</v>
      </c>
      <c r="M6" t="s">
        <v>40</v>
      </c>
    </row>
    <row r="7" spans="1:13" x14ac:dyDescent="0.2">
      <c r="A7" s="1">
        <v>36308</v>
      </c>
      <c r="B7" s="1">
        <v>36281</v>
      </c>
      <c r="C7">
        <v>-2.0707760000000002E-2</v>
      </c>
      <c r="D7">
        <v>999.18</v>
      </c>
      <c r="E7">
        <v>5.54</v>
      </c>
      <c r="F7">
        <v>4.5</v>
      </c>
      <c r="G7" s="6">
        <v>166</v>
      </c>
      <c r="H7">
        <v>4.6100000000000003</v>
      </c>
      <c r="K7" t="s">
        <v>36</v>
      </c>
      <c r="L7" t="s">
        <v>21</v>
      </c>
      <c r="M7" t="s">
        <v>40</v>
      </c>
    </row>
    <row r="8" spans="1:13" x14ac:dyDescent="0.2">
      <c r="A8" s="1">
        <v>36341</v>
      </c>
      <c r="B8" s="1">
        <v>36312</v>
      </c>
      <c r="C8">
        <v>5.0823480000000004E-2</v>
      </c>
      <c r="D8">
        <v>994.25</v>
      </c>
      <c r="E8">
        <v>5.9</v>
      </c>
      <c r="F8">
        <v>4.57</v>
      </c>
      <c r="G8" s="6">
        <v>166</v>
      </c>
      <c r="H8">
        <v>5.12</v>
      </c>
    </row>
    <row r="9" spans="1:13" x14ac:dyDescent="0.2">
      <c r="A9" s="1">
        <v>36371</v>
      </c>
      <c r="B9" s="1">
        <v>36342</v>
      </c>
      <c r="C9">
        <v>-3.083348E-2</v>
      </c>
      <c r="D9">
        <v>988.44</v>
      </c>
      <c r="E9">
        <v>5.79</v>
      </c>
      <c r="F9">
        <v>4.55</v>
      </c>
      <c r="G9" s="6">
        <v>166.7</v>
      </c>
      <c r="H9">
        <v>5.07</v>
      </c>
    </row>
    <row r="10" spans="1:13" x14ac:dyDescent="0.2">
      <c r="A10" s="1">
        <v>36403</v>
      </c>
      <c r="B10" s="1">
        <v>36373</v>
      </c>
      <c r="C10">
        <v>-9.9184420000000013E-3</v>
      </c>
      <c r="D10">
        <v>985.9</v>
      </c>
      <c r="E10">
        <v>5.94</v>
      </c>
      <c r="F10">
        <v>4.72</v>
      </c>
      <c r="G10" s="6">
        <v>167.1</v>
      </c>
      <c r="H10">
        <v>5.57</v>
      </c>
    </row>
    <row r="11" spans="1:13" x14ac:dyDescent="0.2">
      <c r="A11" s="1">
        <v>36433</v>
      </c>
      <c r="B11" s="1">
        <v>36404</v>
      </c>
      <c r="C11">
        <v>-2.266901E-2</v>
      </c>
      <c r="D11">
        <v>997.08</v>
      </c>
      <c r="E11">
        <v>5.92</v>
      </c>
      <c r="F11">
        <v>4.68</v>
      </c>
      <c r="G11" s="6">
        <v>167.8</v>
      </c>
      <c r="H11">
        <v>5.51</v>
      </c>
    </row>
    <row r="12" spans="1:13" x14ac:dyDescent="0.2">
      <c r="A12" s="1">
        <v>36462</v>
      </c>
      <c r="B12" s="1">
        <v>36434</v>
      </c>
      <c r="C12">
        <v>6.2107269999999999E-2</v>
      </c>
      <c r="D12">
        <v>1000.18</v>
      </c>
      <c r="E12">
        <v>6.11</v>
      </c>
      <c r="F12">
        <v>4.8600000000000003</v>
      </c>
      <c r="G12" s="6">
        <v>168.1</v>
      </c>
      <c r="H12">
        <v>5.27</v>
      </c>
    </row>
    <row r="13" spans="1:13" x14ac:dyDescent="0.2">
      <c r="A13" s="1">
        <v>36494</v>
      </c>
      <c r="B13" s="1">
        <v>36465</v>
      </c>
      <c r="C13">
        <v>3.6822239999999999E-2</v>
      </c>
      <c r="D13">
        <v>1001.56</v>
      </c>
      <c r="E13">
        <v>6.03</v>
      </c>
      <c r="F13">
        <v>5.07</v>
      </c>
      <c r="G13" s="6">
        <v>168.4</v>
      </c>
      <c r="H13">
        <v>5.63</v>
      </c>
    </row>
    <row r="14" spans="1:13" x14ac:dyDescent="0.2">
      <c r="A14" s="1">
        <v>36525</v>
      </c>
      <c r="B14" s="1">
        <v>36495</v>
      </c>
      <c r="C14">
        <v>8.3744510000000008E-2</v>
      </c>
      <c r="D14">
        <v>997.97</v>
      </c>
      <c r="E14">
        <v>6.28</v>
      </c>
      <c r="F14">
        <v>5.2</v>
      </c>
      <c r="G14" s="6">
        <v>168.8</v>
      </c>
      <c r="H14">
        <v>3.99</v>
      </c>
    </row>
    <row r="15" spans="1:13" x14ac:dyDescent="0.2">
      <c r="A15" s="1">
        <v>36556</v>
      </c>
      <c r="B15" s="1">
        <v>36526</v>
      </c>
      <c r="C15">
        <v>-3.9621959999999998E-2</v>
      </c>
      <c r="D15">
        <v>994.63</v>
      </c>
      <c r="E15">
        <v>6.66</v>
      </c>
      <c r="F15">
        <v>5.32</v>
      </c>
      <c r="G15" s="6">
        <v>169.3</v>
      </c>
      <c r="H15">
        <v>5.87</v>
      </c>
    </row>
    <row r="16" spans="1:13" x14ac:dyDescent="0.2">
      <c r="A16" s="1">
        <v>36585</v>
      </c>
      <c r="B16" s="1">
        <v>36557</v>
      </c>
      <c r="C16">
        <v>3.1760280000000002E-2</v>
      </c>
      <c r="D16">
        <v>1002.33</v>
      </c>
      <c r="E16">
        <v>6.52</v>
      </c>
      <c r="F16">
        <v>5.55</v>
      </c>
      <c r="G16" s="6">
        <v>170</v>
      </c>
      <c r="H16">
        <v>5.85</v>
      </c>
    </row>
    <row r="17" spans="1:8" x14ac:dyDescent="0.2">
      <c r="A17" s="1">
        <v>36616</v>
      </c>
      <c r="B17" s="1">
        <v>36586</v>
      </c>
      <c r="C17">
        <v>5.3499020000000001E-2</v>
      </c>
      <c r="D17">
        <v>1013.44</v>
      </c>
      <c r="E17">
        <v>6.26</v>
      </c>
      <c r="F17">
        <v>5.69</v>
      </c>
      <c r="G17" s="6">
        <v>171</v>
      </c>
      <c r="H17">
        <v>6.17</v>
      </c>
    </row>
    <row r="18" spans="1:8" x14ac:dyDescent="0.2">
      <c r="A18" s="1">
        <v>36644</v>
      </c>
      <c r="B18" s="1">
        <v>36617</v>
      </c>
      <c r="C18">
        <v>-5.9518590000000003E-2</v>
      </c>
      <c r="D18">
        <v>1000.92</v>
      </c>
      <c r="E18">
        <v>5.99</v>
      </c>
      <c r="F18">
        <v>5.66</v>
      </c>
      <c r="G18" s="6">
        <v>170.9</v>
      </c>
      <c r="H18">
        <v>6.06</v>
      </c>
    </row>
    <row r="19" spans="1:8" x14ac:dyDescent="0.2">
      <c r="A19" s="1">
        <v>36677</v>
      </c>
      <c r="B19" s="1">
        <v>36647</v>
      </c>
      <c r="C19">
        <v>-3.8862609999999999E-2</v>
      </c>
      <c r="D19">
        <v>995.34</v>
      </c>
      <c r="E19">
        <v>6.44</v>
      </c>
      <c r="F19">
        <v>5.79</v>
      </c>
      <c r="G19" s="6">
        <v>171.2</v>
      </c>
      <c r="H19">
        <v>6.83</v>
      </c>
    </row>
    <row r="20" spans="1:8" x14ac:dyDescent="0.2">
      <c r="A20" s="1">
        <v>36707</v>
      </c>
      <c r="B20" s="1">
        <v>36678</v>
      </c>
      <c r="C20">
        <v>5.1576419999999998E-2</v>
      </c>
      <c r="D20">
        <v>1020.15</v>
      </c>
      <c r="E20">
        <v>6.1</v>
      </c>
      <c r="F20">
        <v>5.69</v>
      </c>
      <c r="G20" s="6">
        <v>172.2</v>
      </c>
      <c r="H20">
        <v>6.86</v>
      </c>
    </row>
    <row r="21" spans="1:8" x14ac:dyDescent="0.2">
      <c r="A21" s="1">
        <v>36738</v>
      </c>
      <c r="B21" s="1">
        <v>36708</v>
      </c>
      <c r="C21">
        <v>-1.7679250000000001E-2</v>
      </c>
      <c r="D21">
        <v>1032.21</v>
      </c>
      <c r="E21">
        <v>6.05</v>
      </c>
      <c r="F21">
        <v>5.96</v>
      </c>
      <c r="G21" s="6">
        <v>172.7</v>
      </c>
      <c r="H21">
        <v>6.64</v>
      </c>
    </row>
    <row r="22" spans="1:8" x14ac:dyDescent="0.2">
      <c r="A22" s="1">
        <v>36769</v>
      </c>
      <c r="B22" s="1">
        <v>36739</v>
      </c>
      <c r="C22">
        <v>7.498378E-2</v>
      </c>
      <c r="D22">
        <v>1045.58</v>
      </c>
      <c r="E22">
        <v>5.83</v>
      </c>
      <c r="F22">
        <v>6.09</v>
      </c>
      <c r="G22" s="6">
        <v>172.7</v>
      </c>
      <c r="H22">
        <v>6.65</v>
      </c>
    </row>
    <row r="23" spans="1:8" x14ac:dyDescent="0.2">
      <c r="A23" s="1">
        <v>36798</v>
      </c>
      <c r="B23" s="1">
        <v>36770</v>
      </c>
      <c r="C23">
        <v>-5.1154390000000001E-2</v>
      </c>
      <c r="D23">
        <v>1053.8</v>
      </c>
      <c r="E23">
        <v>5.8</v>
      </c>
      <c r="F23">
        <v>6</v>
      </c>
      <c r="G23" s="6">
        <v>173.6</v>
      </c>
      <c r="H23">
        <v>6.6</v>
      </c>
    </row>
    <row r="24" spans="1:8" x14ac:dyDescent="0.2">
      <c r="A24" s="1">
        <v>36830</v>
      </c>
      <c r="B24" s="1">
        <v>36800</v>
      </c>
      <c r="C24">
        <v>-2.4480120000000001E-2</v>
      </c>
      <c r="D24">
        <v>1053.24</v>
      </c>
      <c r="E24">
        <v>5.74</v>
      </c>
      <c r="F24">
        <v>6.11</v>
      </c>
      <c r="G24" s="6">
        <v>173.9</v>
      </c>
      <c r="H24">
        <v>6.59</v>
      </c>
    </row>
    <row r="25" spans="1:8" x14ac:dyDescent="0.2">
      <c r="A25" s="1">
        <v>36860</v>
      </c>
      <c r="B25" s="1">
        <v>36831</v>
      </c>
      <c r="C25">
        <v>-0.1023654</v>
      </c>
      <c r="D25">
        <v>1068.24</v>
      </c>
      <c r="E25">
        <v>5.72</v>
      </c>
      <c r="F25">
        <v>6.17</v>
      </c>
      <c r="G25" s="6">
        <v>174.2</v>
      </c>
      <c r="H25">
        <v>6.62</v>
      </c>
    </row>
    <row r="26" spans="1:8" x14ac:dyDescent="0.2">
      <c r="A26" s="1">
        <v>36889</v>
      </c>
      <c r="B26" s="1">
        <v>36861</v>
      </c>
      <c r="C26">
        <v>2.044955E-2</v>
      </c>
      <c r="D26">
        <v>1089.1300000000001</v>
      </c>
      <c r="E26">
        <v>5.24</v>
      </c>
      <c r="F26">
        <v>5.77</v>
      </c>
      <c r="G26" s="6">
        <v>174.6</v>
      </c>
      <c r="H26">
        <v>5.41</v>
      </c>
    </row>
    <row r="27" spans="1:8" x14ac:dyDescent="0.2">
      <c r="A27" s="1">
        <v>36922</v>
      </c>
      <c r="B27" s="1">
        <v>36892</v>
      </c>
      <c r="C27">
        <v>3.9573070000000002E-2</v>
      </c>
      <c r="D27">
        <v>1117.8399999999999</v>
      </c>
      <c r="E27">
        <v>5.16</v>
      </c>
      <c r="F27">
        <v>5.15</v>
      </c>
      <c r="G27" s="6">
        <v>175.6</v>
      </c>
      <c r="H27">
        <v>5.74</v>
      </c>
    </row>
    <row r="28" spans="1:8" x14ac:dyDescent="0.2">
      <c r="A28" s="1">
        <v>36950</v>
      </c>
      <c r="B28" s="1">
        <v>36923</v>
      </c>
      <c r="C28">
        <v>-9.9084409999999998E-2</v>
      </c>
      <c r="D28">
        <v>1128.81</v>
      </c>
      <c r="E28">
        <v>5.0999999999999996</v>
      </c>
      <c r="F28">
        <v>4.88</v>
      </c>
      <c r="G28" s="6">
        <v>176</v>
      </c>
      <c r="H28">
        <v>5.59</v>
      </c>
    </row>
    <row r="29" spans="1:8" x14ac:dyDescent="0.2">
      <c r="A29" s="1">
        <v>36980</v>
      </c>
      <c r="B29" s="1">
        <v>36951</v>
      </c>
      <c r="C29">
        <v>-7.0408079999999998E-2</v>
      </c>
      <c r="D29">
        <v>1137.56</v>
      </c>
      <c r="E29">
        <v>4.8899999999999997</v>
      </c>
      <c r="F29">
        <v>4.42</v>
      </c>
      <c r="G29" s="6">
        <v>176.1</v>
      </c>
      <c r="H29">
        <v>5.29</v>
      </c>
    </row>
    <row r="30" spans="1:8" x14ac:dyDescent="0.2">
      <c r="A30" s="1">
        <v>37011</v>
      </c>
      <c r="B30" s="1">
        <v>36982</v>
      </c>
      <c r="C30">
        <v>8.3834279999999997E-2</v>
      </c>
      <c r="D30">
        <v>1131.5999999999999</v>
      </c>
      <c r="E30">
        <v>5.14</v>
      </c>
      <c r="F30">
        <v>3.87</v>
      </c>
      <c r="G30" s="6">
        <v>176.4</v>
      </c>
      <c r="H30">
        <v>4.67</v>
      </c>
    </row>
    <row r="31" spans="1:8" x14ac:dyDescent="0.2">
      <c r="A31" s="1">
        <v>37042</v>
      </c>
      <c r="B31" s="1">
        <v>37012</v>
      </c>
      <c r="C31">
        <v>1.0441860000000001E-2</v>
      </c>
      <c r="D31">
        <v>1143.17</v>
      </c>
      <c r="E31">
        <v>5.39</v>
      </c>
      <c r="F31">
        <v>3.62</v>
      </c>
      <c r="G31" s="6">
        <v>177.3</v>
      </c>
      <c r="H31">
        <v>4.24</v>
      </c>
    </row>
    <row r="32" spans="1:8" x14ac:dyDescent="0.2">
      <c r="A32" s="1">
        <v>37071</v>
      </c>
      <c r="B32" s="1">
        <v>37043</v>
      </c>
      <c r="C32">
        <v>-1.756081E-2</v>
      </c>
      <c r="D32">
        <v>1148.33</v>
      </c>
      <c r="E32">
        <v>5.28</v>
      </c>
      <c r="F32">
        <v>3.49</v>
      </c>
      <c r="G32" s="6">
        <v>177.7</v>
      </c>
      <c r="H32">
        <v>3.95</v>
      </c>
    </row>
    <row r="33" spans="1:8" x14ac:dyDescent="0.2">
      <c r="A33" s="1">
        <v>37103</v>
      </c>
      <c r="B33" s="1">
        <v>37073</v>
      </c>
      <c r="C33">
        <v>-1.8283600000000001E-2</v>
      </c>
      <c r="D33">
        <v>1180.49</v>
      </c>
      <c r="E33">
        <v>5.24</v>
      </c>
      <c r="F33">
        <v>3.51</v>
      </c>
      <c r="G33" s="6">
        <v>177.4</v>
      </c>
      <c r="H33">
        <v>3.82</v>
      </c>
    </row>
    <row r="34" spans="1:8" x14ac:dyDescent="0.2">
      <c r="A34" s="1">
        <v>37134</v>
      </c>
      <c r="B34" s="1">
        <v>37104</v>
      </c>
      <c r="C34">
        <v>-5.8979839999999999E-2</v>
      </c>
      <c r="D34">
        <v>1193.3</v>
      </c>
      <c r="E34">
        <v>4.97</v>
      </c>
      <c r="F34">
        <v>3.36</v>
      </c>
      <c r="G34" s="6">
        <v>177.4</v>
      </c>
      <c r="H34">
        <v>3.66</v>
      </c>
    </row>
    <row r="35" spans="1:8" x14ac:dyDescent="0.2">
      <c r="A35" s="1">
        <v>37162</v>
      </c>
      <c r="B35" s="1">
        <v>37135</v>
      </c>
      <c r="C35">
        <v>-9.1497030000000007E-2</v>
      </c>
      <c r="D35">
        <v>1196.5899999999999</v>
      </c>
      <c r="E35">
        <v>4.7300000000000004</v>
      </c>
      <c r="F35">
        <v>2.64</v>
      </c>
      <c r="G35" s="6">
        <v>178.1</v>
      </c>
      <c r="H35">
        <v>2.75</v>
      </c>
    </row>
    <row r="36" spans="1:8" x14ac:dyDescent="0.2">
      <c r="A36" s="1">
        <v>37195</v>
      </c>
      <c r="B36" s="1">
        <v>37165</v>
      </c>
      <c r="C36">
        <v>2.7846570000000001E-2</v>
      </c>
      <c r="D36">
        <v>1222.8699999999999</v>
      </c>
      <c r="E36">
        <v>4.57</v>
      </c>
      <c r="F36">
        <v>2.16</v>
      </c>
      <c r="G36" s="6">
        <v>177.6</v>
      </c>
      <c r="H36">
        <v>2.66</v>
      </c>
    </row>
    <row r="37" spans="1:8" x14ac:dyDescent="0.2">
      <c r="A37" s="1">
        <v>37225</v>
      </c>
      <c r="B37" s="1">
        <v>37196</v>
      </c>
      <c r="C37">
        <v>7.8788830000000004E-2</v>
      </c>
      <c r="D37">
        <v>1212.8399999999999</v>
      </c>
      <c r="E37">
        <v>4.6500000000000004</v>
      </c>
      <c r="F37">
        <v>1.87</v>
      </c>
      <c r="G37" s="6">
        <v>177.5</v>
      </c>
      <c r="H37">
        <v>2.06</v>
      </c>
    </row>
    <row r="38" spans="1:8" x14ac:dyDescent="0.2">
      <c r="A38" s="1">
        <v>37256</v>
      </c>
      <c r="B38" s="1">
        <v>37226</v>
      </c>
      <c r="C38">
        <v>1.7853540000000001E-2</v>
      </c>
      <c r="D38">
        <v>1205.7</v>
      </c>
      <c r="E38">
        <v>5.09</v>
      </c>
      <c r="F38">
        <v>1.69</v>
      </c>
      <c r="G38" s="6">
        <v>177.4</v>
      </c>
      <c r="H38">
        <v>1.52</v>
      </c>
    </row>
    <row r="39" spans="1:8" x14ac:dyDescent="0.2">
      <c r="A39" s="1">
        <v>37287</v>
      </c>
      <c r="B39" s="1">
        <v>37257</v>
      </c>
      <c r="C39">
        <v>-1.5966150000000002E-2</v>
      </c>
      <c r="D39">
        <v>1211.93</v>
      </c>
      <c r="E39">
        <v>5.04</v>
      </c>
      <c r="F39">
        <v>1.65</v>
      </c>
      <c r="G39" s="6">
        <v>177.7</v>
      </c>
      <c r="H39">
        <v>1.85</v>
      </c>
    </row>
    <row r="40" spans="1:8" x14ac:dyDescent="0.2">
      <c r="A40" s="1">
        <v>37315</v>
      </c>
      <c r="B40" s="1">
        <v>37288</v>
      </c>
      <c r="C40">
        <v>-2.169973E-2</v>
      </c>
      <c r="D40">
        <v>1221.07</v>
      </c>
      <c r="E40">
        <v>4.91</v>
      </c>
      <c r="F40">
        <v>1.72</v>
      </c>
      <c r="G40" s="6">
        <v>178</v>
      </c>
      <c r="H40">
        <v>1.83</v>
      </c>
    </row>
    <row r="41" spans="1:8" x14ac:dyDescent="0.2">
      <c r="A41" s="1">
        <v>37343</v>
      </c>
      <c r="B41" s="1">
        <v>37316</v>
      </c>
      <c r="C41">
        <v>4.4698359999999999E-2</v>
      </c>
      <c r="D41">
        <v>1198.3</v>
      </c>
      <c r="E41">
        <v>5.28</v>
      </c>
      <c r="F41">
        <v>1.79</v>
      </c>
      <c r="G41" s="6">
        <v>178.5</v>
      </c>
      <c r="H41">
        <v>1.74</v>
      </c>
    </row>
    <row r="42" spans="1:8" x14ac:dyDescent="0.2">
      <c r="A42" s="1">
        <v>37376</v>
      </c>
      <c r="B42" s="1">
        <v>37347</v>
      </c>
      <c r="C42">
        <v>-4.9600129999999999E-2</v>
      </c>
      <c r="D42">
        <v>1213.8399999999999</v>
      </c>
      <c r="E42">
        <v>5.21</v>
      </c>
      <c r="F42">
        <v>1.71</v>
      </c>
      <c r="G42" s="6">
        <v>179.3</v>
      </c>
      <c r="H42">
        <v>1.82</v>
      </c>
    </row>
    <row r="43" spans="1:8" x14ac:dyDescent="0.2">
      <c r="A43" s="1">
        <v>37407</v>
      </c>
      <c r="B43" s="1">
        <v>37377</v>
      </c>
      <c r="C43">
        <v>-1.0509549999999999E-2</v>
      </c>
      <c r="D43">
        <v>1229.49</v>
      </c>
      <c r="E43">
        <v>5.16</v>
      </c>
      <c r="F43">
        <v>1.73</v>
      </c>
      <c r="G43" s="6">
        <v>179.5</v>
      </c>
      <c r="H43">
        <v>1.79</v>
      </c>
    </row>
    <row r="44" spans="1:8" x14ac:dyDescent="0.2">
      <c r="A44" s="1">
        <v>37435</v>
      </c>
      <c r="B44" s="1">
        <v>37408</v>
      </c>
      <c r="C44">
        <v>-7.0259180000000004E-2</v>
      </c>
      <c r="D44">
        <v>1229.6400000000001</v>
      </c>
      <c r="E44">
        <v>4.93</v>
      </c>
      <c r="F44">
        <v>1.7</v>
      </c>
      <c r="G44" s="6">
        <v>179.6</v>
      </c>
      <c r="H44">
        <v>1.73</v>
      </c>
    </row>
    <row r="45" spans="1:8" x14ac:dyDescent="0.2">
      <c r="A45" s="1">
        <v>37468</v>
      </c>
      <c r="B45" s="1">
        <v>37438</v>
      </c>
      <c r="C45">
        <v>-8.1124630000000003E-2</v>
      </c>
      <c r="D45">
        <v>1230.31</v>
      </c>
      <c r="E45">
        <v>4.6500000000000004</v>
      </c>
      <c r="F45">
        <v>1.68</v>
      </c>
      <c r="G45" s="6">
        <v>180</v>
      </c>
      <c r="H45">
        <v>1.76</v>
      </c>
    </row>
    <row r="46" spans="1:8" x14ac:dyDescent="0.2">
      <c r="A46" s="1">
        <v>37498</v>
      </c>
      <c r="B46" s="1">
        <v>37469</v>
      </c>
      <c r="C46">
        <v>7.9489020000000007E-3</v>
      </c>
      <c r="D46">
        <v>1262.82</v>
      </c>
      <c r="E46">
        <v>4.26</v>
      </c>
      <c r="F46">
        <v>1.62</v>
      </c>
      <c r="G46" s="6">
        <v>180.5</v>
      </c>
      <c r="H46">
        <v>1.81</v>
      </c>
    </row>
    <row r="47" spans="1:8" x14ac:dyDescent="0.2">
      <c r="A47" s="1">
        <v>37529</v>
      </c>
      <c r="B47" s="1">
        <v>37500</v>
      </c>
      <c r="C47">
        <v>-9.9922810000000001E-2</v>
      </c>
      <c r="D47">
        <v>1287.29</v>
      </c>
      <c r="E47">
        <v>3.87</v>
      </c>
      <c r="F47">
        <v>1.63</v>
      </c>
      <c r="G47" s="6">
        <v>180.8</v>
      </c>
      <c r="H47">
        <v>1.85</v>
      </c>
    </row>
    <row r="48" spans="1:8" x14ac:dyDescent="0.2">
      <c r="A48" s="1">
        <v>37560</v>
      </c>
      <c r="B48" s="1">
        <v>37530</v>
      </c>
      <c r="C48">
        <v>7.4939660000000005E-2</v>
      </c>
      <c r="D48">
        <v>1270.8599999999999</v>
      </c>
      <c r="E48">
        <v>3.94</v>
      </c>
      <c r="F48">
        <v>1.58</v>
      </c>
      <c r="G48" s="6">
        <v>181.2</v>
      </c>
      <c r="H48">
        <v>1.82</v>
      </c>
    </row>
    <row r="49" spans="1:8" x14ac:dyDescent="0.2">
      <c r="A49" s="1">
        <v>37589</v>
      </c>
      <c r="B49" s="1">
        <v>37561</v>
      </c>
      <c r="C49">
        <v>6.128161E-2</v>
      </c>
      <c r="D49">
        <v>1288.4100000000001</v>
      </c>
      <c r="E49">
        <v>4.05</v>
      </c>
      <c r="F49">
        <v>1.23</v>
      </c>
      <c r="G49" s="6">
        <v>181.5</v>
      </c>
      <c r="H49">
        <v>1.23</v>
      </c>
    </row>
    <row r="50" spans="1:8" x14ac:dyDescent="0.2">
      <c r="A50" s="1">
        <v>37621</v>
      </c>
      <c r="B50" s="1">
        <v>37591</v>
      </c>
      <c r="C50">
        <v>-5.3334409999999999E-2</v>
      </c>
      <c r="D50">
        <v>1328.32</v>
      </c>
      <c r="E50">
        <v>4.03</v>
      </c>
      <c r="F50">
        <v>1.19</v>
      </c>
      <c r="G50" s="6">
        <v>181.8</v>
      </c>
      <c r="H50">
        <v>1.1599999999999999</v>
      </c>
    </row>
    <row r="51" spans="1:8" x14ac:dyDescent="0.2">
      <c r="A51" s="1">
        <v>37652</v>
      </c>
      <c r="B51" s="1">
        <v>37622</v>
      </c>
      <c r="C51">
        <v>-2.336659E-2</v>
      </c>
      <c r="D51">
        <v>1332.92</v>
      </c>
      <c r="E51">
        <v>4.05</v>
      </c>
      <c r="F51">
        <v>1.17</v>
      </c>
      <c r="G51" s="6">
        <v>182.6</v>
      </c>
      <c r="H51">
        <v>1.33</v>
      </c>
    </row>
    <row r="52" spans="1:8" x14ac:dyDescent="0.2">
      <c r="A52" s="1">
        <v>37680</v>
      </c>
      <c r="B52" s="1">
        <v>37653</v>
      </c>
      <c r="C52">
        <v>-1.5417210000000001E-2</v>
      </c>
      <c r="D52">
        <v>1360.72</v>
      </c>
      <c r="E52">
        <v>3.9</v>
      </c>
      <c r="F52">
        <v>1.17</v>
      </c>
      <c r="G52" s="6">
        <v>183.6</v>
      </c>
      <c r="H52">
        <v>1.33</v>
      </c>
    </row>
    <row r="53" spans="1:8" x14ac:dyDescent="0.2">
      <c r="A53" s="1">
        <v>37711</v>
      </c>
      <c r="B53" s="1">
        <v>37681</v>
      </c>
      <c r="C53">
        <v>1.032112E-2</v>
      </c>
      <c r="D53">
        <v>1361.96</v>
      </c>
      <c r="E53">
        <v>3.81</v>
      </c>
      <c r="F53">
        <v>1.1299999999999999</v>
      </c>
      <c r="G53" s="6">
        <v>183.9</v>
      </c>
      <c r="H53">
        <v>1.38</v>
      </c>
    </row>
    <row r="54" spans="1:8" x14ac:dyDescent="0.2">
      <c r="A54" s="1">
        <v>37741</v>
      </c>
      <c r="B54" s="1">
        <v>37712</v>
      </c>
      <c r="C54">
        <v>8.2767610000000005E-2</v>
      </c>
      <c r="D54">
        <v>1387.85</v>
      </c>
      <c r="E54">
        <v>3.96</v>
      </c>
      <c r="F54">
        <v>1.1299999999999999</v>
      </c>
      <c r="G54" s="6">
        <v>183.2</v>
      </c>
      <c r="H54">
        <v>1.31</v>
      </c>
    </row>
    <row r="55" spans="1:8" x14ac:dyDescent="0.2">
      <c r="A55" s="1">
        <v>37771</v>
      </c>
      <c r="B55" s="1">
        <v>37742</v>
      </c>
      <c r="C55">
        <v>6.3471260000000002E-2</v>
      </c>
      <c r="D55">
        <v>1432.09</v>
      </c>
      <c r="E55">
        <v>3.57</v>
      </c>
      <c r="F55">
        <v>1.07</v>
      </c>
      <c r="G55" s="6">
        <v>182.9</v>
      </c>
      <c r="H55">
        <v>1.28</v>
      </c>
    </row>
    <row r="56" spans="1:8" x14ac:dyDescent="0.2">
      <c r="A56" s="1">
        <v>37802</v>
      </c>
      <c r="B56" s="1">
        <v>37773</v>
      </c>
      <c r="C56">
        <v>1.634584E-2</v>
      </c>
      <c r="D56">
        <v>1429.74</v>
      </c>
      <c r="E56">
        <v>3.33</v>
      </c>
      <c r="F56">
        <v>0.92</v>
      </c>
      <c r="G56" s="6">
        <v>183.1</v>
      </c>
      <c r="H56">
        <v>1.45</v>
      </c>
    </row>
    <row r="57" spans="1:8" x14ac:dyDescent="0.2">
      <c r="A57" s="1">
        <v>37833</v>
      </c>
      <c r="B57" s="1">
        <v>37803</v>
      </c>
      <c r="C57">
        <v>2.3112190000000001E-2</v>
      </c>
      <c r="D57">
        <v>1369.38</v>
      </c>
      <c r="E57">
        <v>3.98</v>
      </c>
      <c r="F57">
        <v>0.9</v>
      </c>
      <c r="G57" s="6">
        <v>183.7</v>
      </c>
      <c r="H57">
        <v>1.04</v>
      </c>
    </row>
    <row r="58" spans="1:8" x14ac:dyDescent="0.2">
      <c r="A58" s="1">
        <v>37862</v>
      </c>
      <c r="B58" s="1">
        <v>37834</v>
      </c>
      <c r="C58">
        <v>2.4965359999999999E-2</v>
      </c>
      <c r="D58">
        <v>1380.13</v>
      </c>
      <c r="E58">
        <v>4.45</v>
      </c>
      <c r="F58">
        <v>0.95</v>
      </c>
      <c r="G58" s="6">
        <v>184.5</v>
      </c>
      <c r="H58">
        <v>1.01</v>
      </c>
    </row>
    <row r="59" spans="1:8" x14ac:dyDescent="0.2">
      <c r="A59" s="1">
        <v>37894</v>
      </c>
      <c r="B59" s="1">
        <v>37865</v>
      </c>
      <c r="C59">
        <v>-9.1202350000000008E-3</v>
      </c>
      <c r="D59">
        <v>1429.39</v>
      </c>
      <c r="E59">
        <v>4.2699999999999996</v>
      </c>
      <c r="F59">
        <v>0.94</v>
      </c>
      <c r="G59" s="6">
        <v>185.1</v>
      </c>
      <c r="H59">
        <v>1.17</v>
      </c>
    </row>
    <row r="60" spans="1:8" x14ac:dyDescent="0.2">
      <c r="A60" s="1">
        <v>37925</v>
      </c>
      <c r="B60" s="1">
        <v>37895</v>
      </c>
      <c r="C60">
        <v>6.0360790000000004E-2</v>
      </c>
      <c r="D60">
        <v>1413.33</v>
      </c>
      <c r="E60">
        <v>4.29</v>
      </c>
      <c r="F60">
        <v>0.92</v>
      </c>
      <c r="G60" s="6">
        <v>184.9</v>
      </c>
      <c r="H60">
        <v>1.03</v>
      </c>
    </row>
    <row r="61" spans="1:8" x14ac:dyDescent="0.2">
      <c r="A61" s="1">
        <v>37953</v>
      </c>
      <c r="B61" s="1">
        <v>37926</v>
      </c>
      <c r="C61">
        <v>1.6594100000000001E-2</v>
      </c>
      <c r="D61">
        <v>1420.22</v>
      </c>
      <c r="E61">
        <v>4.3</v>
      </c>
      <c r="F61">
        <v>0.93</v>
      </c>
      <c r="G61" s="6">
        <v>185</v>
      </c>
      <c r="H61">
        <v>1.01</v>
      </c>
    </row>
    <row r="62" spans="1:8" x14ac:dyDescent="0.2">
      <c r="A62" s="1">
        <v>37986</v>
      </c>
      <c r="B62" s="1">
        <v>37956</v>
      </c>
      <c r="C62">
        <v>4.5476389999999998E-2</v>
      </c>
      <c r="D62">
        <v>1438.7</v>
      </c>
      <c r="E62">
        <v>4.2699999999999996</v>
      </c>
      <c r="F62">
        <v>0.9</v>
      </c>
      <c r="G62" s="6">
        <v>185.5</v>
      </c>
      <c r="H62">
        <v>0.94</v>
      </c>
    </row>
    <row r="63" spans="1:8" x14ac:dyDescent="0.2">
      <c r="A63" s="1">
        <v>38016</v>
      </c>
      <c r="B63" s="1">
        <v>37987</v>
      </c>
      <c r="C63">
        <v>2.304194E-2</v>
      </c>
      <c r="D63">
        <v>1454.19</v>
      </c>
      <c r="E63">
        <v>4.1500000000000004</v>
      </c>
      <c r="F63">
        <v>0.88</v>
      </c>
      <c r="G63" s="6">
        <v>186.3</v>
      </c>
      <c r="H63">
        <v>1.03</v>
      </c>
    </row>
    <row r="64" spans="1:8" x14ac:dyDescent="0.2">
      <c r="A64" s="1">
        <v>38044</v>
      </c>
      <c r="B64" s="1">
        <v>38018</v>
      </c>
      <c r="C64">
        <v>1.544306E-2</v>
      </c>
      <c r="D64">
        <v>1471.1</v>
      </c>
      <c r="E64">
        <v>4.08</v>
      </c>
      <c r="F64">
        <v>0.93</v>
      </c>
      <c r="G64" s="6">
        <v>186.7</v>
      </c>
      <c r="H64">
        <v>1.04</v>
      </c>
    </row>
    <row r="65" spans="1:8" x14ac:dyDescent="0.2">
      <c r="A65" s="1">
        <v>38077</v>
      </c>
      <c r="B65" s="1">
        <v>38047</v>
      </c>
      <c r="C65">
        <v>-1.066161E-2</v>
      </c>
      <c r="D65">
        <v>1486.18</v>
      </c>
      <c r="E65">
        <v>3.83</v>
      </c>
      <c r="F65">
        <v>0.94</v>
      </c>
      <c r="G65" s="6">
        <v>187.1</v>
      </c>
      <c r="H65">
        <v>1.05</v>
      </c>
    </row>
    <row r="66" spans="1:8" x14ac:dyDescent="0.2">
      <c r="A66" s="1">
        <v>38107</v>
      </c>
      <c r="B66" s="1">
        <v>38078</v>
      </c>
      <c r="C66">
        <v>-2.4221929999999999E-2</v>
      </c>
      <c r="D66">
        <v>1440</v>
      </c>
      <c r="E66">
        <v>4.3499999999999996</v>
      </c>
      <c r="F66">
        <v>0.94</v>
      </c>
      <c r="G66" s="6">
        <v>187.4</v>
      </c>
      <c r="H66">
        <v>1.03</v>
      </c>
    </row>
    <row r="67" spans="1:8" x14ac:dyDescent="0.2">
      <c r="A67" s="1">
        <v>38135</v>
      </c>
      <c r="B67" s="1">
        <v>38108</v>
      </c>
      <c r="C67">
        <v>1.406833E-2</v>
      </c>
      <c r="D67">
        <v>1429.8</v>
      </c>
      <c r="E67">
        <v>4.72</v>
      </c>
      <c r="F67">
        <v>1.02</v>
      </c>
      <c r="G67" s="6">
        <v>188.2</v>
      </c>
      <c r="H67">
        <v>1.02</v>
      </c>
    </row>
    <row r="68" spans="1:8" x14ac:dyDescent="0.2">
      <c r="A68" s="1">
        <v>38168</v>
      </c>
      <c r="B68" s="1">
        <v>38139</v>
      </c>
      <c r="C68">
        <v>2.1610919999999999E-2</v>
      </c>
      <c r="D68">
        <v>1436.75</v>
      </c>
      <c r="E68">
        <v>4.7300000000000004</v>
      </c>
      <c r="F68">
        <v>1.27</v>
      </c>
      <c r="G68" s="6">
        <v>188.9</v>
      </c>
      <c r="H68">
        <v>1.38</v>
      </c>
    </row>
    <row r="69" spans="1:8" x14ac:dyDescent="0.2">
      <c r="A69" s="1">
        <v>38198</v>
      </c>
      <c r="B69" s="1">
        <v>38169</v>
      </c>
      <c r="C69">
        <v>-3.7697670000000003E-2</v>
      </c>
      <c r="D69">
        <v>1454.11</v>
      </c>
      <c r="E69">
        <v>4.5</v>
      </c>
      <c r="F69">
        <v>1.33</v>
      </c>
      <c r="G69" s="6">
        <v>189.1</v>
      </c>
      <c r="H69">
        <v>1.29</v>
      </c>
    </row>
    <row r="70" spans="1:8" x14ac:dyDescent="0.2">
      <c r="A70" s="1">
        <v>38230</v>
      </c>
      <c r="B70" s="1">
        <v>38200</v>
      </c>
      <c r="C70">
        <v>2.7028830000000001E-3</v>
      </c>
      <c r="D70">
        <v>1488.21</v>
      </c>
      <c r="E70">
        <v>4.28</v>
      </c>
      <c r="F70">
        <v>1.48</v>
      </c>
      <c r="G70" s="6">
        <v>189.2</v>
      </c>
      <c r="H70">
        <v>1.55</v>
      </c>
    </row>
    <row r="71" spans="1:8" x14ac:dyDescent="0.2">
      <c r="A71" s="1">
        <v>38260</v>
      </c>
      <c r="B71" s="1">
        <v>38231</v>
      </c>
      <c r="C71">
        <v>2.055616E-2</v>
      </c>
      <c r="D71">
        <v>1495.99</v>
      </c>
      <c r="E71">
        <v>4.13</v>
      </c>
      <c r="F71">
        <v>1.65</v>
      </c>
      <c r="G71" s="6">
        <v>189.8</v>
      </c>
      <c r="H71">
        <v>1.94</v>
      </c>
    </row>
    <row r="72" spans="1:8" x14ac:dyDescent="0.2">
      <c r="A72" s="1">
        <v>38289</v>
      </c>
      <c r="B72" s="1">
        <v>38261</v>
      </c>
      <c r="C72">
        <v>1.780559E-2</v>
      </c>
      <c r="D72">
        <v>1511.11</v>
      </c>
      <c r="E72">
        <v>4.0999999999999996</v>
      </c>
      <c r="F72">
        <v>1.76</v>
      </c>
      <c r="G72" s="6">
        <v>190.8</v>
      </c>
      <c r="H72">
        <v>1.79</v>
      </c>
    </row>
    <row r="73" spans="1:8" x14ac:dyDescent="0.2">
      <c r="A73" s="1">
        <v>38321</v>
      </c>
      <c r="B73" s="1">
        <v>38292</v>
      </c>
      <c r="C73">
        <v>4.8213789999999999E-2</v>
      </c>
      <c r="D73">
        <v>1495.4</v>
      </c>
      <c r="E73">
        <v>4.1900000000000004</v>
      </c>
      <c r="F73">
        <v>2.0699999999999998</v>
      </c>
      <c r="G73" s="6">
        <v>191.7</v>
      </c>
      <c r="H73">
        <v>2.02</v>
      </c>
    </row>
    <row r="74" spans="1:8" x14ac:dyDescent="0.2">
      <c r="A74" s="1">
        <v>38352</v>
      </c>
      <c r="B74" s="1">
        <v>38322</v>
      </c>
      <c r="C74">
        <v>3.5169720000000002E-2</v>
      </c>
      <c r="D74">
        <v>1516.6</v>
      </c>
      <c r="E74">
        <v>4.2300000000000004</v>
      </c>
      <c r="F74">
        <v>2.19</v>
      </c>
      <c r="G74" s="6">
        <v>191.7</v>
      </c>
      <c r="H74">
        <v>1.97</v>
      </c>
    </row>
    <row r="75" spans="1:8" x14ac:dyDescent="0.2">
      <c r="A75" s="1">
        <v>38383</v>
      </c>
      <c r="B75" s="1">
        <v>38353</v>
      </c>
      <c r="C75">
        <v>-2.6545889999999999E-2</v>
      </c>
      <c r="D75">
        <v>1528.87</v>
      </c>
      <c r="E75">
        <v>4.22</v>
      </c>
      <c r="F75">
        <v>2.33</v>
      </c>
      <c r="G75" s="6">
        <v>191.6</v>
      </c>
      <c r="H75">
        <v>2.5</v>
      </c>
    </row>
    <row r="76" spans="1:8" x14ac:dyDescent="0.2">
      <c r="A76" s="1">
        <v>38411</v>
      </c>
      <c r="B76" s="1">
        <v>38384</v>
      </c>
      <c r="C76">
        <v>2.2646099999999999E-2</v>
      </c>
      <c r="D76">
        <v>1519.03</v>
      </c>
      <c r="E76">
        <v>4.17</v>
      </c>
      <c r="F76">
        <v>2.54</v>
      </c>
      <c r="G76" s="6">
        <v>192.4</v>
      </c>
      <c r="H76">
        <v>2.52</v>
      </c>
    </row>
    <row r="77" spans="1:8" x14ac:dyDescent="0.2">
      <c r="A77" s="1">
        <v>38442</v>
      </c>
      <c r="B77" s="1">
        <v>38412</v>
      </c>
      <c r="C77">
        <v>-1.6943639999999999E-2</v>
      </c>
      <c r="D77">
        <v>1502.67</v>
      </c>
      <c r="E77">
        <v>4.5</v>
      </c>
      <c r="F77">
        <v>2.74</v>
      </c>
      <c r="G77" s="6">
        <v>193.1</v>
      </c>
      <c r="H77">
        <v>2.96</v>
      </c>
    </row>
    <row r="78" spans="1:8" x14ac:dyDescent="0.2">
      <c r="A78" s="1">
        <v>38471</v>
      </c>
      <c r="B78" s="1">
        <v>38443</v>
      </c>
      <c r="C78">
        <v>-2.5206300000000001E-2</v>
      </c>
      <c r="D78">
        <v>1523.58</v>
      </c>
      <c r="E78">
        <v>4.34</v>
      </c>
      <c r="F78">
        <v>2.78</v>
      </c>
      <c r="G78" s="6">
        <v>193.7</v>
      </c>
      <c r="H78">
        <v>2.97</v>
      </c>
    </row>
    <row r="79" spans="1:8" x14ac:dyDescent="0.2">
      <c r="A79" s="1">
        <v>38503</v>
      </c>
      <c r="B79" s="1">
        <v>38473</v>
      </c>
      <c r="C79">
        <v>3.7954000000000002E-2</v>
      </c>
      <c r="D79">
        <v>1542.36</v>
      </c>
      <c r="E79">
        <v>4.1399999999999997</v>
      </c>
      <c r="F79">
        <v>2.84</v>
      </c>
      <c r="G79" s="6">
        <v>193.6</v>
      </c>
      <c r="H79">
        <v>3.09</v>
      </c>
    </row>
    <row r="80" spans="1:8" x14ac:dyDescent="0.2">
      <c r="A80" s="1">
        <v>38533</v>
      </c>
      <c r="B80" s="1">
        <v>38504</v>
      </c>
      <c r="C80">
        <v>1.1528989999999999E-2</v>
      </c>
      <c r="D80">
        <v>1554.79</v>
      </c>
      <c r="E80">
        <v>4</v>
      </c>
      <c r="F80">
        <v>2.97</v>
      </c>
      <c r="G80" s="6">
        <v>193.7</v>
      </c>
      <c r="H80">
        <v>3.35</v>
      </c>
    </row>
    <row r="81" spans="1:8" x14ac:dyDescent="0.2">
      <c r="A81" s="1">
        <v>38562</v>
      </c>
      <c r="B81" s="1">
        <v>38534</v>
      </c>
      <c r="C81">
        <v>4.3357470000000002E-2</v>
      </c>
      <c r="D81">
        <v>1538.69</v>
      </c>
      <c r="E81">
        <v>4.18</v>
      </c>
      <c r="F81">
        <v>3.22</v>
      </c>
      <c r="G81" s="6">
        <v>194.9</v>
      </c>
      <c r="H81">
        <v>3.31</v>
      </c>
    </row>
    <row r="82" spans="1:8" x14ac:dyDescent="0.2">
      <c r="A82" s="1">
        <v>38595</v>
      </c>
      <c r="B82" s="1">
        <v>38565</v>
      </c>
      <c r="C82">
        <v>-5.9582930000000008E-3</v>
      </c>
      <c r="D82">
        <v>1563.76</v>
      </c>
      <c r="E82">
        <v>4.26</v>
      </c>
      <c r="F82">
        <v>3.44</v>
      </c>
      <c r="G82" s="6">
        <v>196.1</v>
      </c>
      <c r="H82">
        <v>3.63</v>
      </c>
    </row>
    <row r="83" spans="1:8" x14ac:dyDescent="0.2">
      <c r="A83" s="1">
        <v>38625</v>
      </c>
      <c r="B83" s="1">
        <v>38596</v>
      </c>
      <c r="C83">
        <v>1.059976E-2</v>
      </c>
      <c r="D83">
        <v>1539.02</v>
      </c>
      <c r="E83">
        <v>4.2</v>
      </c>
      <c r="F83">
        <v>3.42</v>
      </c>
      <c r="G83" s="6">
        <v>198.8</v>
      </c>
      <c r="H83">
        <v>3.93</v>
      </c>
    </row>
    <row r="84" spans="1:8" x14ac:dyDescent="0.2">
      <c r="A84" s="1">
        <v>38656</v>
      </c>
      <c r="B84" s="1">
        <v>38626</v>
      </c>
      <c r="C84">
        <v>-2.0865580000000002E-2</v>
      </c>
      <c r="D84">
        <v>1523.19</v>
      </c>
      <c r="E84">
        <v>4.46</v>
      </c>
      <c r="F84">
        <v>3.71</v>
      </c>
      <c r="G84" s="6">
        <v>199.1</v>
      </c>
      <c r="H84">
        <v>4.0199999999999996</v>
      </c>
    </row>
    <row r="85" spans="1:8" x14ac:dyDescent="0.2">
      <c r="A85" s="1">
        <v>38686</v>
      </c>
      <c r="B85" s="1">
        <v>38657</v>
      </c>
      <c r="C85">
        <v>4.0326359999999999E-2</v>
      </c>
      <c r="D85">
        <v>1531.36</v>
      </c>
      <c r="E85">
        <v>4.54</v>
      </c>
      <c r="F85">
        <v>3.88</v>
      </c>
      <c r="G85" s="6">
        <v>198.1</v>
      </c>
      <c r="H85">
        <v>4.03</v>
      </c>
    </row>
    <row r="86" spans="1:8" x14ac:dyDescent="0.2">
      <c r="A86" s="1">
        <v>38716</v>
      </c>
      <c r="B86" s="1">
        <v>38687</v>
      </c>
      <c r="C86">
        <v>3.4576280000000004E-3</v>
      </c>
      <c r="D86">
        <v>1546.51</v>
      </c>
      <c r="E86">
        <v>4.47</v>
      </c>
      <c r="F86">
        <v>3.89</v>
      </c>
      <c r="G86" s="6">
        <v>198.1</v>
      </c>
      <c r="H86">
        <v>4.09</v>
      </c>
    </row>
    <row r="87" spans="1:8" x14ac:dyDescent="0.2">
      <c r="A87" s="1">
        <v>38748</v>
      </c>
      <c r="B87" s="1">
        <v>38718</v>
      </c>
      <c r="C87">
        <v>4.0071889999999999E-2</v>
      </c>
      <c r="D87">
        <v>1543.26</v>
      </c>
      <c r="E87">
        <v>4.42</v>
      </c>
      <c r="F87">
        <v>4.24</v>
      </c>
      <c r="G87" s="6">
        <v>199.3</v>
      </c>
      <c r="H87">
        <v>4.47</v>
      </c>
    </row>
    <row r="88" spans="1:8" x14ac:dyDescent="0.2">
      <c r="A88" s="1">
        <v>38776</v>
      </c>
      <c r="B88" s="1">
        <v>38749</v>
      </c>
      <c r="C88">
        <v>-1.6388280000000002E-3</v>
      </c>
      <c r="D88">
        <v>1549.4</v>
      </c>
      <c r="E88">
        <v>4.57</v>
      </c>
      <c r="F88">
        <v>4.43</v>
      </c>
      <c r="G88" s="6">
        <v>199.4</v>
      </c>
      <c r="H88">
        <v>4.5199999999999996</v>
      </c>
    </row>
    <row r="89" spans="1:8" x14ac:dyDescent="0.2">
      <c r="A89" s="1">
        <v>38807</v>
      </c>
      <c r="B89" s="1">
        <v>38777</v>
      </c>
      <c r="C89">
        <v>1.906455E-2</v>
      </c>
      <c r="D89">
        <v>1529.88</v>
      </c>
      <c r="E89">
        <v>4.72</v>
      </c>
      <c r="F89">
        <v>4.51</v>
      </c>
      <c r="G89" s="6">
        <v>199.7</v>
      </c>
      <c r="H89">
        <v>5</v>
      </c>
    </row>
    <row r="90" spans="1:8" x14ac:dyDescent="0.2">
      <c r="A90" s="1">
        <v>38835</v>
      </c>
      <c r="B90" s="1">
        <v>38808</v>
      </c>
      <c r="C90">
        <v>1.3000040000000001E-2</v>
      </c>
      <c r="D90">
        <v>1523.8</v>
      </c>
      <c r="E90">
        <v>4.99</v>
      </c>
      <c r="F90">
        <v>4.5999999999999996</v>
      </c>
      <c r="G90" s="6">
        <v>200.7</v>
      </c>
      <c r="H90">
        <v>4.8600000000000003</v>
      </c>
    </row>
    <row r="91" spans="1:8" x14ac:dyDescent="0.2">
      <c r="A91" s="1">
        <v>38868</v>
      </c>
      <c r="B91" s="1">
        <v>38838</v>
      </c>
      <c r="C91">
        <v>-3.1031969999999999E-2</v>
      </c>
      <c r="D91">
        <v>1522.58</v>
      </c>
      <c r="E91">
        <v>5.1100000000000003</v>
      </c>
      <c r="F91">
        <v>4.72</v>
      </c>
      <c r="G91" s="6">
        <v>201.3</v>
      </c>
      <c r="H91">
        <v>5.05</v>
      </c>
    </row>
    <row r="92" spans="1:8" x14ac:dyDescent="0.2">
      <c r="A92" s="1">
        <v>38898</v>
      </c>
      <c r="B92" s="1">
        <v>38869</v>
      </c>
      <c r="C92">
        <v>-3.905499E-4</v>
      </c>
      <c r="D92">
        <v>1523.72</v>
      </c>
      <c r="E92">
        <v>5.1100000000000003</v>
      </c>
      <c r="F92">
        <v>4.79</v>
      </c>
      <c r="G92" s="6">
        <v>201.8</v>
      </c>
      <c r="H92">
        <v>5.05</v>
      </c>
    </row>
    <row r="93" spans="1:8" x14ac:dyDescent="0.2">
      <c r="A93" s="1">
        <v>38929</v>
      </c>
      <c r="B93" s="1">
        <v>38899</v>
      </c>
      <c r="C93">
        <v>-1.9115480000000001E-3</v>
      </c>
      <c r="D93">
        <v>1546.3</v>
      </c>
      <c r="E93">
        <v>5.09</v>
      </c>
      <c r="F93">
        <v>4.95</v>
      </c>
      <c r="G93" s="6">
        <v>202.9</v>
      </c>
      <c r="H93">
        <v>5.31</v>
      </c>
    </row>
    <row r="94" spans="1:8" x14ac:dyDescent="0.2">
      <c r="A94" s="1">
        <v>38960</v>
      </c>
      <c r="B94" s="1">
        <v>38930</v>
      </c>
      <c r="C94">
        <v>2.5041460000000001E-2</v>
      </c>
      <c r="D94">
        <v>1575.23</v>
      </c>
      <c r="E94">
        <v>4.88</v>
      </c>
      <c r="F94">
        <v>4.96</v>
      </c>
      <c r="G94" s="6">
        <v>203.8</v>
      </c>
      <c r="H94">
        <v>5.31</v>
      </c>
    </row>
    <row r="95" spans="1:8" x14ac:dyDescent="0.2">
      <c r="A95" s="1">
        <v>38989</v>
      </c>
      <c r="B95" s="1">
        <v>38961</v>
      </c>
      <c r="C95">
        <v>1.942518E-2</v>
      </c>
      <c r="D95">
        <v>1592.34</v>
      </c>
      <c r="E95">
        <v>4.72</v>
      </c>
      <c r="F95">
        <v>4.8099999999999996</v>
      </c>
      <c r="G95" s="6">
        <v>202.8</v>
      </c>
      <c r="H95">
        <v>5.34</v>
      </c>
    </row>
    <row r="96" spans="1:8" x14ac:dyDescent="0.2">
      <c r="A96" s="1">
        <v>39021</v>
      </c>
      <c r="B96" s="1">
        <v>38991</v>
      </c>
      <c r="C96">
        <v>3.715301E-2</v>
      </c>
      <c r="D96">
        <v>1606.07</v>
      </c>
      <c r="E96">
        <v>4.7300000000000004</v>
      </c>
      <c r="F96">
        <v>4.92</v>
      </c>
      <c r="G96" s="6">
        <v>201.9</v>
      </c>
      <c r="H96">
        <v>5.31</v>
      </c>
    </row>
    <row r="97" spans="1:8" x14ac:dyDescent="0.2">
      <c r="A97" s="1">
        <v>39051</v>
      </c>
      <c r="B97" s="1">
        <v>39022</v>
      </c>
      <c r="C97">
        <v>2.3736480000000001E-2</v>
      </c>
      <c r="D97">
        <v>1628.82</v>
      </c>
      <c r="E97">
        <v>4.5999999999999996</v>
      </c>
      <c r="F97">
        <v>4.9400000000000004</v>
      </c>
      <c r="G97" s="6">
        <v>202</v>
      </c>
      <c r="H97">
        <v>5.31</v>
      </c>
    </row>
    <row r="98" spans="1:8" x14ac:dyDescent="0.2">
      <c r="A98" s="1">
        <v>39080</v>
      </c>
      <c r="B98" s="1">
        <v>39052</v>
      </c>
      <c r="C98">
        <v>1.0856920000000001E-2</v>
      </c>
      <c r="D98">
        <v>1614.19</v>
      </c>
      <c r="E98">
        <v>4.5599999999999996</v>
      </c>
      <c r="F98">
        <v>4.8499999999999996</v>
      </c>
      <c r="G98" s="6">
        <v>203.1</v>
      </c>
      <c r="H98">
        <v>5.17</v>
      </c>
    </row>
    <row r="99" spans="1:8" x14ac:dyDescent="0.2">
      <c r="A99" s="1">
        <v>39113</v>
      </c>
      <c r="B99" s="1">
        <v>39083</v>
      </c>
      <c r="C99">
        <v>1.9386799999999999E-2</v>
      </c>
      <c r="D99">
        <v>1614.72</v>
      </c>
      <c r="E99">
        <v>4.76</v>
      </c>
      <c r="F99">
        <v>4.9800000000000004</v>
      </c>
      <c r="G99" s="6">
        <v>203.43700000000001</v>
      </c>
      <c r="H99">
        <v>5.33</v>
      </c>
    </row>
    <row r="100" spans="1:8" x14ac:dyDescent="0.2">
      <c r="A100" s="1">
        <v>39141</v>
      </c>
      <c r="B100" s="1">
        <v>39114</v>
      </c>
      <c r="C100">
        <v>-1.4006000000000001E-2</v>
      </c>
      <c r="D100">
        <v>1647.49</v>
      </c>
      <c r="E100">
        <v>4.72</v>
      </c>
      <c r="F100">
        <v>5.03</v>
      </c>
      <c r="G100" s="6">
        <v>204.226</v>
      </c>
      <c r="H100">
        <v>5.41</v>
      </c>
    </row>
    <row r="101" spans="1:8" x14ac:dyDescent="0.2">
      <c r="A101" s="1">
        <v>39171</v>
      </c>
      <c r="B101" s="1">
        <v>39142</v>
      </c>
      <c r="C101">
        <v>1.2953539999999999E-2</v>
      </c>
      <c r="D101">
        <v>1639.46</v>
      </c>
      <c r="E101">
        <v>4.5599999999999996</v>
      </c>
      <c r="F101">
        <v>4.9400000000000004</v>
      </c>
      <c r="G101" s="6">
        <v>205.28800000000001</v>
      </c>
      <c r="H101">
        <v>5.3</v>
      </c>
    </row>
    <row r="102" spans="1:8" x14ac:dyDescent="0.2">
      <c r="A102" s="1">
        <v>39202</v>
      </c>
      <c r="B102" s="1">
        <v>39173</v>
      </c>
      <c r="C102">
        <v>3.9833810000000004E-2</v>
      </c>
      <c r="D102">
        <v>1651.59</v>
      </c>
      <c r="E102">
        <v>4.6900000000000004</v>
      </c>
      <c r="F102">
        <v>4.87</v>
      </c>
      <c r="G102" s="6">
        <v>205.904</v>
      </c>
      <c r="H102">
        <v>5.29</v>
      </c>
    </row>
    <row r="103" spans="1:8" x14ac:dyDescent="0.2">
      <c r="A103" s="1">
        <v>39233</v>
      </c>
      <c r="B103" s="1">
        <v>39203</v>
      </c>
      <c r="C103">
        <v>3.8953359999999999E-2</v>
      </c>
      <c r="D103">
        <v>1635.24</v>
      </c>
      <c r="E103">
        <v>4.75</v>
      </c>
      <c r="F103">
        <v>4.7300000000000004</v>
      </c>
      <c r="G103" s="6">
        <v>206.755</v>
      </c>
      <c r="H103">
        <v>5.28</v>
      </c>
    </row>
    <row r="104" spans="1:8" x14ac:dyDescent="0.2">
      <c r="A104" s="1">
        <v>39262</v>
      </c>
      <c r="B104" s="1">
        <v>39234</v>
      </c>
      <c r="C104">
        <v>-1.4747E-2</v>
      </c>
      <c r="D104">
        <v>1627.38</v>
      </c>
      <c r="E104">
        <v>5.0999999999999996</v>
      </c>
      <c r="F104">
        <v>4.6100000000000003</v>
      </c>
      <c r="G104" s="6">
        <v>207.23400000000001</v>
      </c>
      <c r="H104">
        <v>5.31</v>
      </c>
    </row>
    <row r="105" spans="1:8" x14ac:dyDescent="0.2">
      <c r="A105" s="1">
        <v>39294</v>
      </c>
      <c r="B105" s="1">
        <v>39264</v>
      </c>
      <c r="C105">
        <v>-3.1789570000000003E-2</v>
      </c>
      <c r="D105">
        <v>1632.03</v>
      </c>
      <c r="E105">
        <v>5</v>
      </c>
      <c r="F105">
        <v>4.82</v>
      </c>
      <c r="G105" s="6">
        <v>207.60300000000001</v>
      </c>
      <c r="H105">
        <v>5.28</v>
      </c>
    </row>
    <row r="106" spans="1:8" x14ac:dyDescent="0.2">
      <c r="A106" s="1">
        <v>39325</v>
      </c>
      <c r="B106" s="1">
        <v>39295</v>
      </c>
      <c r="C106">
        <v>1.159279E-2</v>
      </c>
      <c r="D106">
        <v>1648.1</v>
      </c>
      <c r="E106">
        <v>4.67</v>
      </c>
      <c r="F106">
        <v>4.2</v>
      </c>
      <c r="G106" s="6">
        <v>207.667</v>
      </c>
      <c r="H106">
        <v>4.96</v>
      </c>
    </row>
    <row r="107" spans="1:8" x14ac:dyDescent="0.2">
      <c r="A107" s="1">
        <v>39353</v>
      </c>
      <c r="B107" s="1">
        <v>39326</v>
      </c>
      <c r="C107">
        <v>4.0822030000000002E-2</v>
      </c>
      <c r="D107">
        <v>1657.34</v>
      </c>
      <c r="E107">
        <v>4.5199999999999996</v>
      </c>
      <c r="F107">
        <v>3.89</v>
      </c>
      <c r="G107" s="6">
        <v>208.547</v>
      </c>
      <c r="H107">
        <v>4.58</v>
      </c>
    </row>
    <row r="108" spans="1:8" x14ac:dyDescent="0.2">
      <c r="A108" s="1">
        <v>39386</v>
      </c>
      <c r="B108" s="1">
        <v>39356</v>
      </c>
      <c r="C108">
        <v>2.591044E-2</v>
      </c>
      <c r="D108">
        <v>1675.35</v>
      </c>
      <c r="E108">
        <v>4.53</v>
      </c>
      <c r="F108">
        <v>3.9</v>
      </c>
      <c r="G108" s="6">
        <v>209.19</v>
      </c>
      <c r="H108">
        <v>4.5999999999999996</v>
      </c>
    </row>
    <row r="109" spans="1:8" x14ac:dyDescent="0.2">
      <c r="A109" s="1">
        <v>39416</v>
      </c>
      <c r="B109" s="1">
        <v>39387</v>
      </c>
      <c r="C109">
        <v>-4.9361849999999999E-2</v>
      </c>
      <c r="D109">
        <v>1690.08</v>
      </c>
      <c r="E109">
        <v>4.1500000000000004</v>
      </c>
      <c r="F109">
        <v>3.27</v>
      </c>
      <c r="G109" s="6">
        <v>210.834</v>
      </c>
      <c r="H109">
        <v>4.66</v>
      </c>
    </row>
    <row r="110" spans="1:8" x14ac:dyDescent="0.2">
      <c r="A110" s="1">
        <v>39447</v>
      </c>
      <c r="B110" s="1">
        <v>39417</v>
      </c>
      <c r="C110">
        <v>-4.4051970000000005E-3</v>
      </c>
      <c r="D110">
        <v>1689.14</v>
      </c>
      <c r="E110">
        <v>4.0999999999999996</v>
      </c>
      <c r="F110">
        <v>3</v>
      </c>
      <c r="G110" s="6">
        <v>211.44499999999999</v>
      </c>
      <c r="H110">
        <v>3.06</v>
      </c>
    </row>
    <row r="111" spans="1:8" x14ac:dyDescent="0.2">
      <c r="A111" s="1">
        <v>39478</v>
      </c>
      <c r="B111" s="1">
        <v>39448</v>
      </c>
      <c r="C111">
        <v>-6.2217720000000004E-2</v>
      </c>
      <c r="D111">
        <v>1709.1</v>
      </c>
      <c r="E111">
        <v>3.74</v>
      </c>
      <c r="F111">
        <v>2.75</v>
      </c>
      <c r="G111" s="6">
        <v>212.17400000000001</v>
      </c>
      <c r="H111">
        <v>3.22</v>
      </c>
    </row>
    <row r="112" spans="1:8" x14ac:dyDescent="0.2">
      <c r="A112" s="1">
        <v>39507</v>
      </c>
      <c r="B112" s="1">
        <v>39479</v>
      </c>
      <c r="C112">
        <v>-2.1696880000000002E-2</v>
      </c>
      <c r="D112">
        <v>1710.33</v>
      </c>
      <c r="E112">
        <v>3.74</v>
      </c>
      <c r="F112">
        <v>2.12</v>
      </c>
      <c r="G112" s="6">
        <v>212.68700000000001</v>
      </c>
      <c r="H112">
        <v>3.01</v>
      </c>
    </row>
    <row r="113" spans="1:8" x14ac:dyDescent="0.2">
      <c r="A113" s="1">
        <v>39538</v>
      </c>
      <c r="B113" s="1">
        <v>39508</v>
      </c>
      <c r="C113">
        <v>-1.044433E-2</v>
      </c>
      <c r="D113">
        <v>1687.63</v>
      </c>
      <c r="E113">
        <v>3.51</v>
      </c>
      <c r="F113">
        <v>1.26</v>
      </c>
      <c r="G113" s="6">
        <v>213.44800000000001</v>
      </c>
      <c r="H113">
        <v>2.5099999999999998</v>
      </c>
    </row>
    <row r="114" spans="1:8" x14ac:dyDescent="0.2">
      <c r="A114" s="1">
        <v>39568</v>
      </c>
      <c r="B114" s="1">
        <v>39539</v>
      </c>
      <c r="C114">
        <v>5.1198920000000002E-2</v>
      </c>
      <c r="D114">
        <v>1697.29</v>
      </c>
      <c r="E114">
        <v>3.68</v>
      </c>
      <c r="F114">
        <v>1.29</v>
      </c>
      <c r="G114" s="6">
        <v>213.94200000000001</v>
      </c>
      <c r="H114">
        <v>2.37</v>
      </c>
    </row>
    <row r="115" spans="1:8" x14ac:dyDescent="0.2">
      <c r="A115" s="1">
        <v>39598</v>
      </c>
      <c r="B115" s="1">
        <v>39569</v>
      </c>
      <c r="C115">
        <v>2.3934770000000001E-2</v>
      </c>
      <c r="D115">
        <v>1681.84</v>
      </c>
      <c r="E115">
        <v>3.88</v>
      </c>
      <c r="F115">
        <v>1.73</v>
      </c>
      <c r="G115" s="6">
        <v>215.208</v>
      </c>
      <c r="H115">
        <v>1.98</v>
      </c>
    </row>
    <row r="116" spans="1:8" x14ac:dyDescent="0.2">
      <c r="A116" s="1">
        <v>39629</v>
      </c>
      <c r="B116" s="1">
        <v>39600</v>
      </c>
      <c r="C116">
        <v>-7.8435779999999997E-2</v>
      </c>
      <c r="D116">
        <v>1675.39</v>
      </c>
      <c r="E116">
        <v>4.0999999999999996</v>
      </c>
      <c r="F116">
        <v>1.86</v>
      </c>
      <c r="G116" s="6">
        <v>217.46299999999999</v>
      </c>
      <c r="H116">
        <v>2.4700000000000002</v>
      </c>
    </row>
    <row r="117" spans="1:8" x14ac:dyDescent="0.2">
      <c r="A117" s="1">
        <v>39660</v>
      </c>
      <c r="B117" s="1">
        <v>39630</v>
      </c>
      <c r="C117">
        <v>-1.3412810000000001E-2</v>
      </c>
      <c r="D117">
        <v>1660.96</v>
      </c>
      <c r="E117">
        <v>4.01</v>
      </c>
      <c r="F117">
        <v>1.63</v>
      </c>
      <c r="G117" s="6">
        <v>219.01599999999999</v>
      </c>
      <c r="H117">
        <v>2.09</v>
      </c>
    </row>
    <row r="118" spans="1:8" x14ac:dyDescent="0.2">
      <c r="A118" s="1">
        <v>39689</v>
      </c>
      <c r="B118" s="1">
        <v>39661</v>
      </c>
      <c r="C118">
        <v>1.059704E-2</v>
      </c>
      <c r="D118">
        <v>1672.62</v>
      </c>
      <c r="E118">
        <v>3.89</v>
      </c>
      <c r="F118">
        <v>1.72</v>
      </c>
      <c r="G118" s="6">
        <v>218.69</v>
      </c>
      <c r="H118">
        <v>1.94</v>
      </c>
    </row>
    <row r="119" spans="1:8" x14ac:dyDescent="0.2">
      <c r="A119" s="1">
        <v>39721</v>
      </c>
      <c r="B119" s="1">
        <v>39692</v>
      </c>
      <c r="C119">
        <v>-9.8171640000000004E-2</v>
      </c>
      <c r="D119">
        <v>1549.89</v>
      </c>
      <c r="E119">
        <v>3.69</v>
      </c>
      <c r="F119">
        <v>1.1299999999999999</v>
      </c>
      <c r="G119" s="6">
        <v>218.87700000000001</v>
      </c>
      <c r="H119">
        <v>2.0299999999999998</v>
      </c>
    </row>
    <row r="120" spans="1:8" x14ac:dyDescent="0.2">
      <c r="A120" s="1">
        <v>39752</v>
      </c>
      <c r="B120" s="1">
        <v>39722</v>
      </c>
      <c r="C120">
        <v>-0.18483329999999998</v>
      </c>
      <c r="D120">
        <v>1435.49</v>
      </c>
      <c r="E120">
        <v>3.81</v>
      </c>
      <c r="F120">
        <v>0.67</v>
      </c>
      <c r="G120" s="6">
        <v>216.995</v>
      </c>
      <c r="H120">
        <v>0.22</v>
      </c>
    </row>
    <row r="121" spans="1:8" x14ac:dyDescent="0.2">
      <c r="A121" s="1">
        <v>39780</v>
      </c>
      <c r="B121" s="1">
        <v>39753</v>
      </c>
      <c r="C121">
        <v>-8.4680829999999999E-2</v>
      </c>
      <c r="D121">
        <v>1491.16</v>
      </c>
      <c r="E121">
        <v>3.53</v>
      </c>
      <c r="F121">
        <v>0.19</v>
      </c>
      <c r="G121" s="6">
        <v>213.15299999999999</v>
      </c>
      <c r="H121">
        <v>0.52</v>
      </c>
    </row>
    <row r="122" spans="1:8" x14ac:dyDescent="0.2">
      <c r="A122" s="1">
        <v>39813</v>
      </c>
      <c r="B122" s="1">
        <v>39783</v>
      </c>
      <c r="C122">
        <v>2.223232E-2</v>
      </c>
      <c r="D122">
        <v>1573.98</v>
      </c>
      <c r="E122">
        <v>2.42</v>
      </c>
      <c r="F122">
        <v>0.03</v>
      </c>
      <c r="G122" s="6">
        <v>211.398</v>
      </c>
      <c r="H122">
        <v>0.14000000000000001</v>
      </c>
    </row>
    <row r="123" spans="1:8" x14ac:dyDescent="0.2">
      <c r="A123" s="1">
        <v>39843</v>
      </c>
      <c r="B123" s="1">
        <v>39814</v>
      </c>
      <c r="C123">
        <v>-7.7470659999999997E-2</v>
      </c>
      <c r="D123">
        <v>1579.22</v>
      </c>
      <c r="E123">
        <v>2.52</v>
      </c>
      <c r="F123">
        <v>0.13</v>
      </c>
      <c r="G123" s="6">
        <v>211.93299999999999</v>
      </c>
      <c r="H123">
        <v>0.23</v>
      </c>
    </row>
    <row r="124" spans="1:8" x14ac:dyDescent="0.2">
      <c r="A124" s="1">
        <v>39871</v>
      </c>
      <c r="B124" s="1">
        <v>39845</v>
      </c>
      <c r="C124">
        <v>-0.1001658</v>
      </c>
      <c r="D124">
        <v>1554.62</v>
      </c>
      <c r="E124">
        <v>2.87</v>
      </c>
      <c r="F124">
        <v>0.3</v>
      </c>
      <c r="G124" s="6">
        <v>212.70500000000001</v>
      </c>
      <c r="H124">
        <v>0.22</v>
      </c>
    </row>
    <row r="125" spans="1:8" x14ac:dyDescent="0.2">
      <c r="A125" s="1">
        <v>39903</v>
      </c>
      <c r="B125" s="1">
        <v>39873</v>
      </c>
      <c r="C125">
        <v>8.6803370000000005E-2</v>
      </c>
      <c r="D125">
        <v>1551.4</v>
      </c>
      <c r="E125">
        <v>2.82</v>
      </c>
      <c r="F125">
        <v>0.21</v>
      </c>
      <c r="G125" s="6">
        <v>212.495</v>
      </c>
      <c r="H125">
        <v>0.16</v>
      </c>
    </row>
    <row r="126" spans="1:8" x14ac:dyDescent="0.2">
      <c r="A126" s="1">
        <v>39933</v>
      </c>
      <c r="B126" s="1">
        <v>39904</v>
      </c>
      <c r="C126">
        <v>0.10946629999999999</v>
      </c>
      <c r="D126">
        <v>1599.25</v>
      </c>
      <c r="E126">
        <v>2.93</v>
      </c>
      <c r="F126">
        <v>0.16</v>
      </c>
      <c r="G126" s="6">
        <v>212.709</v>
      </c>
      <c r="H126">
        <v>0.2</v>
      </c>
    </row>
    <row r="127" spans="1:8" x14ac:dyDescent="0.2">
      <c r="A127" s="1">
        <v>39962</v>
      </c>
      <c r="B127" s="1">
        <v>39934</v>
      </c>
      <c r="C127">
        <v>6.7786780000000005E-2</v>
      </c>
      <c r="D127">
        <v>1668.57</v>
      </c>
      <c r="E127">
        <v>3.29</v>
      </c>
      <c r="F127">
        <v>0.18</v>
      </c>
      <c r="G127" s="6">
        <v>213.02199999999999</v>
      </c>
      <c r="H127">
        <v>0.19</v>
      </c>
    </row>
    <row r="128" spans="1:8" x14ac:dyDescent="0.2">
      <c r="A128" s="1">
        <v>39994</v>
      </c>
      <c r="B128" s="1">
        <v>39965</v>
      </c>
      <c r="C128">
        <v>-3.018878E-3</v>
      </c>
      <c r="D128">
        <v>1719.22</v>
      </c>
      <c r="E128">
        <v>3.72</v>
      </c>
      <c r="F128">
        <v>0.18</v>
      </c>
      <c r="G128" s="6">
        <v>214.79</v>
      </c>
      <c r="H128">
        <v>0.22</v>
      </c>
    </row>
    <row r="129" spans="1:8" x14ac:dyDescent="0.2">
      <c r="A129" s="1">
        <v>40025</v>
      </c>
      <c r="B129" s="1">
        <v>39995</v>
      </c>
      <c r="C129">
        <v>8.1779439999999995E-2</v>
      </c>
      <c r="D129">
        <v>1787.09</v>
      </c>
      <c r="E129">
        <v>3.56</v>
      </c>
      <c r="F129">
        <v>0.18</v>
      </c>
      <c r="G129" s="6">
        <v>214.726</v>
      </c>
      <c r="H129">
        <v>0.18</v>
      </c>
    </row>
    <row r="130" spans="1:8" x14ac:dyDescent="0.2">
      <c r="A130" s="1">
        <v>40056</v>
      </c>
      <c r="B130" s="1">
        <v>40026</v>
      </c>
      <c r="C130">
        <v>3.1510219999999999E-2</v>
      </c>
      <c r="D130">
        <v>1825.74</v>
      </c>
      <c r="E130">
        <v>3.59</v>
      </c>
      <c r="F130">
        <v>0.17</v>
      </c>
      <c r="G130" s="6">
        <v>215.44499999999999</v>
      </c>
      <c r="H130">
        <v>0.15</v>
      </c>
    </row>
    <row r="131" spans="1:8" x14ac:dyDescent="0.2">
      <c r="A131" s="1">
        <v>40086</v>
      </c>
      <c r="B131" s="1">
        <v>40057</v>
      </c>
      <c r="C131">
        <v>4.5280849999999997E-2</v>
      </c>
      <c r="D131">
        <v>1862.31</v>
      </c>
      <c r="E131">
        <v>3.4</v>
      </c>
      <c r="F131">
        <v>0.12</v>
      </c>
      <c r="G131" s="6">
        <v>215.86099999999999</v>
      </c>
      <c r="H131">
        <v>7.0000000000000007E-2</v>
      </c>
    </row>
    <row r="132" spans="1:8" x14ac:dyDescent="0.2">
      <c r="A132" s="1">
        <v>40116</v>
      </c>
      <c r="B132" s="1">
        <v>40087</v>
      </c>
      <c r="C132">
        <v>-2.8071600000000002E-2</v>
      </c>
      <c r="D132">
        <v>1877.52</v>
      </c>
      <c r="E132">
        <v>3.39</v>
      </c>
      <c r="F132">
        <v>7.0000000000000007E-2</v>
      </c>
      <c r="G132" s="6">
        <v>216.50899999999999</v>
      </c>
      <c r="H132">
        <v>0.11</v>
      </c>
    </row>
    <row r="133" spans="1:8" x14ac:dyDescent="0.2">
      <c r="A133" s="1">
        <v>40147</v>
      </c>
      <c r="B133" s="1">
        <v>40118</v>
      </c>
      <c r="C133">
        <v>5.7074550000000002E-2</v>
      </c>
      <c r="D133">
        <v>1904.09</v>
      </c>
      <c r="E133">
        <v>3.4</v>
      </c>
      <c r="F133">
        <v>0.05</v>
      </c>
      <c r="G133" s="6">
        <v>217.23400000000001</v>
      </c>
      <c r="H133">
        <v>0.13</v>
      </c>
    </row>
    <row r="134" spans="1:8" x14ac:dyDescent="0.2">
      <c r="A134" s="1">
        <v>40178</v>
      </c>
      <c r="B134" s="1">
        <v>40148</v>
      </c>
      <c r="C134">
        <v>2.8474869999999999E-2</v>
      </c>
      <c r="D134">
        <v>1885</v>
      </c>
      <c r="E134">
        <v>3.59</v>
      </c>
      <c r="F134">
        <v>0.05</v>
      </c>
      <c r="G134" s="6">
        <v>217.34700000000001</v>
      </c>
      <c r="H134">
        <v>0.05</v>
      </c>
    </row>
    <row r="135" spans="1:8" x14ac:dyDescent="0.2">
      <c r="A135" s="1">
        <v>40207</v>
      </c>
      <c r="B135" s="1">
        <v>40179</v>
      </c>
      <c r="C135">
        <v>-3.7171940000000001E-2</v>
      </c>
      <c r="D135">
        <v>1922.86</v>
      </c>
      <c r="E135">
        <v>3.73</v>
      </c>
      <c r="F135">
        <v>0.06</v>
      </c>
      <c r="G135" s="6">
        <v>217.488</v>
      </c>
      <c r="H135">
        <v>0.12</v>
      </c>
    </row>
    <row r="136" spans="1:8" x14ac:dyDescent="0.2">
      <c r="A136" s="1">
        <v>40235</v>
      </c>
      <c r="B136" s="1">
        <v>40210</v>
      </c>
      <c r="C136">
        <v>3.4743690000000001E-2</v>
      </c>
      <c r="D136">
        <v>1930.07</v>
      </c>
      <c r="E136">
        <v>3.69</v>
      </c>
      <c r="F136">
        <v>0.11</v>
      </c>
      <c r="G136" s="6">
        <v>217.28100000000001</v>
      </c>
      <c r="H136">
        <v>0.13</v>
      </c>
    </row>
    <row r="137" spans="1:8" x14ac:dyDescent="0.2">
      <c r="A137" s="1">
        <v>40268</v>
      </c>
      <c r="B137" s="1">
        <v>40238</v>
      </c>
      <c r="C137">
        <v>6.3668020000000006E-2</v>
      </c>
      <c r="D137">
        <v>1936.76</v>
      </c>
      <c r="E137">
        <v>3.73</v>
      </c>
      <c r="F137">
        <v>0.15</v>
      </c>
      <c r="G137" s="6">
        <v>217.35300000000001</v>
      </c>
      <c r="H137">
        <v>0.09</v>
      </c>
    </row>
    <row r="138" spans="1:8" x14ac:dyDescent="0.2">
      <c r="A138" s="1">
        <v>40298</v>
      </c>
      <c r="B138" s="1">
        <v>40269</v>
      </c>
      <c r="C138">
        <v>2.003624E-2</v>
      </c>
      <c r="D138">
        <v>1970.81</v>
      </c>
      <c r="E138">
        <v>3.85</v>
      </c>
      <c r="F138">
        <v>0.16</v>
      </c>
      <c r="G138" s="6">
        <v>217.40299999999999</v>
      </c>
      <c r="H138">
        <v>0.2</v>
      </c>
    </row>
    <row r="139" spans="1:8" x14ac:dyDescent="0.2">
      <c r="A139" s="1">
        <v>40326</v>
      </c>
      <c r="B139" s="1">
        <v>40299</v>
      </c>
      <c r="C139">
        <v>-7.9239760000000006E-2</v>
      </c>
      <c r="D139">
        <v>1959.55</v>
      </c>
      <c r="E139">
        <v>3.42</v>
      </c>
      <c r="F139">
        <v>0.16</v>
      </c>
      <c r="G139" s="6">
        <v>217.29</v>
      </c>
      <c r="H139">
        <v>0.19</v>
      </c>
    </row>
    <row r="140" spans="1:8" x14ac:dyDescent="0.2">
      <c r="A140" s="1">
        <v>40359</v>
      </c>
      <c r="B140" s="1">
        <v>40330</v>
      </c>
      <c r="C140">
        <v>-5.0779620000000004E-2</v>
      </c>
      <c r="D140">
        <v>1999.87</v>
      </c>
      <c r="E140">
        <v>3.2</v>
      </c>
      <c r="F140">
        <v>0.12</v>
      </c>
      <c r="G140" s="6">
        <v>217.19900000000001</v>
      </c>
      <c r="H140">
        <v>0.09</v>
      </c>
    </row>
    <row r="141" spans="1:8" x14ac:dyDescent="0.2">
      <c r="A141" s="1">
        <v>40389</v>
      </c>
      <c r="B141" s="1">
        <v>40360</v>
      </c>
      <c r="C141">
        <v>7.0360000000000006E-2</v>
      </c>
      <c r="D141">
        <v>2040.8</v>
      </c>
      <c r="E141">
        <v>3.01</v>
      </c>
      <c r="F141">
        <v>0.16</v>
      </c>
      <c r="G141" s="6">
        <v>217.60499999999999</v>
      </c>
      <c r="H141">
        <v>0.18</v>
      </c>
    </row>
    <row r="142" spans="1:8" x14ac:dyDescent="0.2">
      <c r="A142" s="1">
        <v>40421</v>
      </c>
      <c r="B142" s="1">
        <v>40391</v>
      </c>
      <c r="C142">
        <v>-4.2863369999999998E-2</v>
      </c>
      <c r="D142">
        <v>2085.4699999999998</v>
      </c>
      <c r="E142">
        <v>2.7</v>
      </c>
      <c r="F142">
        <v>0.16</v>
      </c>
      <c r="G142" s="6">
        <v>217.923</v>
      </c>
      <c r="H142">
        <v>0.21</v>
      </c>
    </row>
    <row r="143" spans="1:8" x14ac:dyDescent="0.2">
      <c r="A143" s="1">
        <v>40451</v>
      </c>
      <c r="B143" s="1">
        <v>40422</v>
      </c>
      <c r="C143">
        <v>9.162758E-2</v>
      </c>
      <c r="D143">
        <v>2097.7800000000002</v>
      </c>
      <c r="E143">
        <v>2.65</v>
      </c>
      <c r="F143">
        <v>0.15</v>
      </c>
      <c r="G143" s="6">
        <v>218.27500000000001</v>
      </c>
      <c r="H143">
        <v>0.15</v>
      </c>
    </row>
    <row r="144" spans="1:8" x14ac:dyDescent="0.2">
      <c r="A144" s="1">
        <v>40480</v>
      </c>
      <c r="B144" s="1">
        <v>40452</v>
      </c>
      <c r="C144">
        <v>3.8591359999999998E-2</v>
      </c>
      <c r="D144">
        <v>2102.19</v>
      </c>
      <c r="E144">
        <v>2.54</v>
      </c>
      <c r="F144">
        <v>0.13</v>
      </c>
      <c r="G144" s="6">
        <v>219.035</v>
      </c>
      <c r="H144">
        <v>0.2</v>
      </c>
    </row>
    <row r="145" spans="1:8" x14ac:dyDescent="0.2">
      <c r="A145" s="1">
        <v>40512</v>
      </c>
      <c r="B145" s="1">
        <v>40483</v>
      </c>
      <c r="C145">
        <v>5.1166440000000001E-3</v>
      </c>
      <c r="D145">
        <v>2084.21</v>
      </c>
      <c r="E145">
        <v>2.76</v>
      </c>
      <c r="F145">
        <v>0.14000000000000001</v>
      </c>
      <c r="G145" s="6">
        <v>219.59</v>
      </c>
      <c r="H145">
        <v>0.2</v>
      </c>
    </row>
    <row r="146" spans="1:8" x14ac:dyDescent="0.2">
      <c r="A146" s="1">
        <v>40543</v>
      </c>
      <c r="B146" s="1">
        <v>40513</v>
      </c>
      <c r="C146">
        <v>6.7181740000000004E-2</v>
      </c>
      <c r="D146">
        <v>2064.4499999999998</v>
      </c>
      <c r="E146">
        <v>3.29</v>
      </c>
      <c r="F146">
        <v>0.14000000000000001</v>
      </c>
      <c r="G146" s="6">
        <v>220.47200000000001</v>
      </c>
      <c r="H146">
        <v>0.13</v>
      </c>
    </row>
    <row r="147" spans="1:8" x14ac:dyDescent="0.2">
      <c r="A147" s="1">
        <v>40574</v>
      </c>
      <c r="B147" s="1">
        <v>40544</v>
      </c>
      <c r="C147">
        <v>1.918334E-2</v>
      </c>
      <c r="D147">
        <v>2069.34</v>
      </c>
      <c r="E147">
        <v>3.39</v>
      </c>
      <c r="F147">
        <v>0.15</v>
      </c>
      <c r="G147" s="6">
        <v>221.18700000000001</v>
      </c>
      <c r="H147">
        <v>0.17</v>
      </c>
    </row>
    <row r="148" spans="1:8" x14ac:dyDescent="0.2">
      <c r="A148" s="1">
        <v>40602</v>
      </c>
      <c r="B148" s="1">
        <v>40575</v>
      </c>
      <c r="C148">
        <v>3.8155519999999998E-2</v>
      </c>
      <c r="D148">
        <v>2084</v>
      </c>
      <c r="E148">
        <v>3.58</v>
      </c>
      <c r="F148">
        <v>0.13</v>
      </c>
      <c r="G148" s="6">
        <v>221.898</v>
      </c>
      <c r="H148">
        <v>0.16</v>
      </c>
    </row>
    <row r="149" spans="1:8" x14ac:dyDescent="0.2">
      <c r="A149" s="1">
        <v>40633</v>
      </c>
      <c r="B149" s="1">
        <v>40603</v>
      </c>
      <c r="C149">
        <v>3.3408380000000001E-3</v>
      </c>
      <c r="D149">
        <v>2084.5700000000002</v>
      </c>
      <c r="E149">
        <v>3.41</v>
      </c>
      <c r="F149">
        <v>0.1</v>
      </c>
      <c r="G149" s="6">
        <v>223.04599999999999</v>
      </c>
      <c r="H149">
        <v>0.1</v>
      </c>
    </row>
    <row r="150" spans="1:8" x14ac:dyDescent="0.2">
      <c r="A150" s="1">
        <v>40662</v>
      </c>
      <c r="B150" s="1">
        <v>40634</v>
      </c>
      <c r="C150">
        <v>2.859679E-2</v>
      </c>
      <c r="D150">
        <v>2119.9699999999998</v>
      </c>
      <c r="E150">
        <v>3.46</v>
      </c>
      <c r="F150">
        <v>0.06</v>
      </c>
      <c r="G150" s="6">
        <v>224.09299999999999</v>
      </c>
      <c r="H150">
        <v>0.09</v>
      </c>
    </row>
    <row r="151" spans="1:8" x14ac:dyDescent="0.2">
      <c r="A151" s="1">
        <v>40694</v>
      </c>
      <c r="B151" s="1">
        <v>40664</v>
      </c>
      <c r="C151">
        <v>-1.4947709999999999E-2</v>
      </c>
      <c r="D151">
        <v>2150.3200000000002</v>
      </c>
      <c r="E151">
        <v>3.17</v>
      </c>
      <c r="F151">
        <v>0.04</v>
      </c>
      <c r="G151" s="6">
        <v>224.80600000000001</v>
      </c>
      <c r="H151">
        <v>0.1</v>
      </c>
    </row>
    <row r="152" spans="1:8" x14ac:dyDescent="0.2">
      <c r="A152" s="1">
        <v>40724</v>
      </c>
      <c r="B152" s="1">
        <v>40695</v>
      </c>
      <c r="C152">
        <v>-1.8447160000000001E-2</v>
      </c>
      <c r="D152">
        <v>2132.41</v>
      </c>
      <c r="E152">
        <v>3</v>
      </c>
      <c r="F152">
        <v>0.04</v>
      </c>
      <c r="G152" s="6">
        <v>224.80600000000001</v>
      </c>
      <c r="H152">
        <v>7.0000000000000007E-2</v>
      </c>
    </row>
    <row r="153" spans="1:8" x14ac:dyDescent="0.2">
      <c r="A153" s="1">
        <v>40753</v>
      </c>
      <c r="B153" s="1">
        <v>40725</v>
      </c>
      <c r="C153">
        <v>-2.2534200000000001E-2</v>
      </c>
      <c r="D153">
        <v>2181.34</v>
      </c>
      <c r="E153">
        <v>3</v>
      </c>
      <c r="F153">
        <v>0.04</v>
      </c>
      <c r="G153" s="6">
        <v>225.39500000000001</v>
      </c>
      <c r="H153">
        <v>0.11</v>
      </c>
    </row>
    <row r="154" spans="1:8" x14ac:dyDescent="0.2">
      <c r="A154" s="1">
        <v>40786</v>
      </c>
      <c r="B154" s="1">
        <v>40756</v>
      </c>
      <c r="C154">
        <v>-5.7563980000000001E-2</v>
      </c>
      <c r="D154">
        <v>2183.58</v>
      </c>
      <c r="E154">
        <v>2.2999999999999998</v>
      </c>
      <c r="F154">
        <v>0.02</v>
      </c>
      <c r="G154" s="6">
        <v>226.10599999999999</v>
      </c>
      <c r="H154">
        <v>0.08</v>
      </c>
    </row>
    <row r="155" spans="1:8" x14ac:dyDescent="0.2">
      <c r="A155" s="1">
        <v>40816</v>
      </c>
      <c r="B155" s="1">
        <v>40787</v>
      </c>
      <c r="C155">
        <v>-8.4982700000000008E-2</v>
      </c>
      <c r="D155">
        <v>2180.66</v>
      </c>
      <c r="E155">
        <v>1.98</v>
      </c>
      <c r="F155">
        <v>0.01</v>
      </c>
      <c r="G155" s="6">
        <v>226.59700000000001</v>
      </c>
      <c r="H155">
        <v>0.06</v>
      </c>
    </row>
    <row r="156" spans="1:8" x14ac:dyDescent="0.2">
      <c r="A156" s="1">
        <v>40847</v>
      </c>
      <c r="B156" s="1">
        <v>40817</v>
      </c>
      <c r="C156">
        <v>0.11414589999999999</v>
      </c>
      <c r="D156">
        <v>2218.92</v>
      </c>
      <c r="E156">
        <v>2.15</v>
      </c>
      <c r="F156">
        <v>0.02</v>
      </c>
      <c r="G156" s="6">
        <v>226.75</v>
      </c>
      <c r="H156">
        <v>0.09</v>
      </c>
    </row>
    <row r="157" spans="1:8" x14ac:dyDescent="0.2">
      <c r="A157" s="1">
        <v>40877</v>
      </c>
      <c r="B157" s="1">
        <v>40848</v>
      </c>
      <c r="C157">
        <v>-6.2700240000000008E-3</v>
      </c>
      <c r="D157">
        <v>2177.5100000000002</v>
      </c>
      <c r="E157">
        <v>2.0099999999999998</v>
      </c>
      <c r="F157">
        <v>0.01</v>
      </c>
      <c r="G157" s="6">
        <v>227.16900000000001</v>
      </c>
      <c r="H157">
        <v>0.1</v>
      </c>
    </row>
    <row r="158" spans="1:8" x14ac:dyDescent="0.2">
      <c r="A158" s="1">
        <v>40907</v>
      </c>
      <c r="B158" s="1">
        <v>40878</v>
      </c>
      <c r="C158">
        <v>3.6757780000000002E-3</v>
      </c>
      <c r="D158">
        <v>2219.4499999999998</v>
      </c>
      <c r="E158">
        <v>1.98</v>
      </c>
      <c r="F158">
        <v>0.01</v>
      </c>
      <c r="G158" s="6">
        <v>227.22300000000001</v>
      </c>
      <c r="H158">
        <v>0.04</v>
      </c>
    </row>
    <row r="159" spans="1:8" x14ac:dyDescent="0.2">
      <c r="A159" s="1">
        <v>40939</v>
      </c>
      <c r="B159" s="1">
        <v>40909</v>
      </c>
      <c r="C159">
        <v>5.4106390000000004E-2</v>
      </c>
      <c r="D159">
        <v>2267.9</v>
      </c>
      <c r="E159">
        <v>1.97</v>
      </c>
      <c r="F159">
        <v>0.03</v>
      </c>
      <c r="G159" s="6">
        <v>227.84200000000001</v>
      </c>
      <c r="H159">
        <v>0.11</v>
      </c>
    </row>
    <row r="160" spans="1:8" x14ac:dyDescent="0.2">
      <c r="A160" s="1">
        <v>40968</v>
      </c>
      <c r="B160" s="1">
        <v>40940</v>
      </c>
      <c r="C160">
        <v>4.1225249999999998E-2</v>
      </c>
      <c r="D160">
        <v>2287.15</v>
      </c>
      <c r="E160">
        <v>1.97</v>
      </c>
      <c r="F160">
        <v>0.09</v>
      </c>
      <c r="G160" s="6">
        <v>228.32900000000001</v>
      </c>
      <c r="H160">
        <v>0.1</v>
      </c>
    </row>
    <row r="161" spans="1:8" x14ac:dyDescent="0.2">
      <c r="A161" s="1">
        <v>40998</v>
      </c>
      <c r="B161" s="1">
        <v>40969</v>
      </c>
      <c r="C161">
        <v>2.4020320000000001E-2</v>
      </c>
      <c r="D161">
        <v>2273.65</v>
      </c>
      <c r="E161">
        <v>2.17</v>
      </c>
      <c r="F161">
        <v>0.08</v>
      </c>
      <c r="G161" s="6">
        <v>228.80699999999999</v>
      </c>
      <c r="H161">
        <v>0.09</v>
      </c>
    </row>
    <row r="162" spans="1:8" x14ac:dyDescent="0.2">
      <c r="A162" s="1">
        <v>41029</v>
      </c>
      <c r="B162" s="1">
        <v>41000</v>
      </c>
      <c r="C162">
        <v>-6.8285950000000007E-3</v>
      </c>
      <c r="D162">
        <v>2302.66</v>
      </c>
      <c r="E162">
        <v>2.0499999999999998</v>
      </c>
      <c r="F162">
        <v>0.08</v>
      </c>
      <c r="G162" s="6">
        <v>229.18700000000001</v>
      </c>
      <c r="H162">
        <v>0.16</v>
      </c>
    </row>
    <row r="163" spans="1:8" x14ac:dyDescent="0.2">
      <c r="A163" s="1">
        <v>41060</v>
      </c>
      <c r="B163" s="1">
        <v>41030</v>
      </c>
      <c r="C163">
        <v>-6.5590220000000005E-2</v>
      </c>
      <c r="D163">
        <v>2315.9899999999998</v>
      </c>
      <c r="E163">
        <v>1.8</v>
      </c>
      <c r="F163">
        <v>0.09</v>
      </c>
      <c r="G163" s="6">
        <v>228.71299999999999</v>
      </c>
      <c r="H163">
        <v>0.16</v>
      </c>
    </row>
    <row r="164" spans="1:8" x14ac:dyDescent="0.2">
      <c r="A164" s="1">
        <v>41089</v>
      </c>
      <c r="B164" s="1">
        <v>41061</v>
      </c>
      <c r="C164">
        <v>3.8150870000000003E-2</v>
      </c>
      <c r="D164">
        <v>2327.5500000000002</v>
      </c>
      <c r="E164">
        <v>1.62</v>
      </c>
      <c r="F164">
        <v>0.09</v>
      </c>
      <c r="G164" s="6">
        <v>228.524</v>
      </c>
      <c r="H164">
        <v>0.09</v>
      </c>
    </row>
    <row r="165" spans="1:8" x14ac:dyDescent="0.2">
      <c r="A165" s="1">
        <v>41121</v>
      </c>
      <c r="B165" s="1">
        <v>41091</v>
      </c>
      <c r="C165">
        <v>1.030725E-2</v>
      </c>
      <c r="D165">
        <v>2392.89</v>
      </c>
      <c r="E165">
        <v>1.53</v>
      </c>
      <c r="F165">
        <v>0.1</v>
      </c>
      <c r="G165" s="6">
        <v>228.59</v>
      </c>
      <c r="H165">
        <v>0.13</v>
      </c>
    </row>
    <row r="166" spans="1:8" x14ac:dyDescent="0.2">
      <c r="A166" s="1">
        <v>41152</v>
      </c>
      <c r="B166" s="1">
        <v>41122</v>
      </c>
      <c r="C166">
        <v>2.631677E-2</v>
      </c>
      <c r="D166">
        <v>2402.4499999999998</v>
      </c>
      <c r="E166">
        <v>1.68</v>
      </c>
      <c r="F166">
        <v>0.1</v>
      </c>
      <c r="G166" s="6">
        <v>229.91800000000001</v>
      </c>
      <c r="H166">
        <v>0.13</v>
      </c>
    </row>
    <row r="167" spans="1:8" x14ac:dyDescent="0.2">
      <c r="A167" s="1">
        <v>41180</v>
      </c>
      <c r="B167" s="1">
        <v>41153</v>
      </c>
      <c r="C167">
        <v>2.6513270000000002E-2</v>
      </c>
      <c r="D167">
        <v>2420.1999999999998</v>
      </c>
      <c r="E167">
        <v>1.72</v>
      </c>
      <c r="F167">
        <v>0.11</v>
      </c>
      <c r="G167" s="6">
        <v>231.01499999999999</v>
      </c>
      <c r="H167">
        <v>0.09</v>
      </c>
    </row>
    <row r="168" spans="1:8" x14ac:dyDescent="0.2">
      <c r="A168" s="1">
        <v>41213</v>
      </c>
      <c r="B168" s="1">
        <v>41183</v>
      </c>
      <c r="C168">
        <v>-1.4054500000000001E-2</v>
      </c>
      <c r="D168">
        <v>2452.0500000000002</v>
      </c>
      <c r="E168">
        <v>1.75</v>
      </c>
      <c r="F168">
        <v>0.1</v>
      </c>
      <c r="G168" s="6">
        <v>231.63800000000001</v>
      </c>
      <c r="H168">
        <v>0.18</v>
      </c>
    </row>
    <row r="169" spans="1:8" x14ac:dyDescent="0.2">
      <c r="A169" s="1">
        <v>41243</v>
      </c>
      <c r="B169" s="1">
        <v>41214</v>
      </c>
      <c r="C169">
        <v>6.2167580000000002E-3</v>
      </c>
      <c r="D169">
        <v>2450.04</v>
      </c>
      <c r="E169">
        <v>1.65</v>
      </c>
      <c r="F169">
        <v>0.09</v>
      </c>
      <c r="G169" s="6">
        <v>231.249</v>
      </c>
      <c r="H169">
        <v>0.16</v>
      </c>
    </row>
    <row r="170" spans="1:8" x14ac:dyDescent="0.2">
      <c r="A170" s="1">
        <v>41274</v>
      </c>
      <c r="B170" s="1">
        <v>41244</v>
      </c>
      <c r="C170">
        <v>1.2568590000000001E-2</v>
      </c>
      <c r="D170">
        <v>2449.56</v>
      </c>
      <c r="E170">
        <v>1.72</v>
      </c>
      <c r="F170">
        <v>7.0000000000000007E-2</v>
      </c>
      <c r="G170" s="6">
        <v>231.221</v>
      </c>
      <c r="H170">
        <v>0.09</v>
      </c>
    </row>
    <row r="171" spans="1:8" x14ac:dyDescent="0.2">
      <c r="A171" s="1">
        <v>41305</v>
      </c>
      <c r="B171" s="1">
        <v>41275</v>
      </c>
      <c r="C171">
        <v>5.4142099999999999E-2</v>
      </c>
      <c r="D171">
        <v>2431.9899999999998</v>
      </c>
      <c r="E171">
        <v>1.91</v>
      </c>
      <c r="F171">
        <v>7.0000000000000007E-2</v>
      </c>
      <c r="G171" s="6">
        <v>231.679</v>
      </c>
      <c r="H171">
        <v>0.15</v>
      </c>
    </row>
    <row r="172" spans="1:8" x14ac:dyDescent="0.2">
      <c r="A172" s="1">
        <v>41333</v>
      </c>
      <c r="B172" s="1">
        <v>41306</v>
      </c>
      <c r="C172">
        <v>8.2821920000000007E-3</v>
      </c>
      <c r="D172">
        <v>2449.1799999999998</v>
      </c>
      <c r="E172">
        <v>1.98</v>
      </c>
      <c r="F172">
        <v>0.1</v>
      </c>
      <c r="G172" s="6">
        <v>232.93700000000001</v>
      </c>
      <c r="H172">
        <v>0.14000000000000001</v>
      </c>
    </row>
    <row r="173" spans="1:8" x14ac:dyDescent="0.2">
      <c r="A173" s="1">
        <v>41361</v>
      </c>
      <c r="B173" s="1">
        <v>41334</v>
      </c>
      <c r="C173">
        <v>3.5294610000000004E-2</v>
      </c>
      <c r="D173">
        <v>2450.8000000000002</v>
      </c>
      <c r="E173">
        <v>1.96</v>
      </c>
      <c r="F173">
        <v>0.09</v>
      </c>
      <c r="G173" s="6">
        <v>232.28200000000001</v>
      </c>
      <c r="H173">
        <v>0.09</v>
      </c>
    </row>
    <row r="174" spans="1:8" x14ac:dyDescent="0.2">
      <c r="A174" s="1">
        <v>41394</v>
      </c>
      <c r="B174" s="1">
        <v>41365</v>
      </c>
      <c r="C174">
        <v>1.4938660000000001E-2</v>
      </c>
      <c r="D174">
        <v>2492.46</v>
      </c>
      <c r="E174">
        <v>1.76</v>
      </c>
      <c r="F174">
        <v>0.06</v>
      </c>
      <c r="G174" s="6">
        <v>231.797</v>
      </c>
      <c r="H174">
        <v>0.14000000000000001</v>
      </c>
    </row>
    <row r="175" spans="1:8" x14ac:dyDescent="0.2">
      <c r="A175" s="1">
        <v>41425</v>
      </c>
      <c r="B175" s="1">
        <v>41395</v>
      </c>
      <c r="C175">
        <v>1.912778E-2</v>
      </c>
      <c r="D175">
        <v>2435.61</v>
      </c>
      <c r="E175">
        <v>1.93</v>
      </c>
      <c r="F175">
        <v>0.04</v>
      </c>
      <c r="G175" s="6">
        <v>231.893</v>
      </c>
      <c r="H175">
        <v>0.09</v>
      </c>
    </row>
    <row r="176" spans="1:8" x14ac:dyDescent="0.2">
      <c r="A176" s="1">
        <v>41453</v>
      </c>
      <c r="B176" s="1">
        <v>41426</v>
      </c>
      <c r="C176">
        <v>-1.5072220000000001E-2</v>
      </c>
      <c r="D176">
        <v>2368.39</v>
      </c>
      <c r="E176">
        <v>2.2999999999999998</v>
      </c>
      <c r="F176">
        <v>0.05</v>
      </c>
      <c r="G176" s="6">
        <v>232.44499999999999</v>
      </c>
      <c r="H176">
        <v>7.0000000000000007E-2</v>
      </c>
    </row>
    <row r="177" spans="1:8" x14ac:dyDescent="0.2">
      <c r="A177" s="1">
        <v>41486</v>
      </c>
      <c r="B177" s="1">
        <v>41456</v>
      </c>
      <c r="C177">
        <v>5.2658040000000003E-2</v>
      </c>
      <c r="D177">
        <v>2385.89</v>
      </c>
      <c r="E177">
        <v>2.58</v>
      </c>
      <c r="F177">
        <v>0.04</v>
      </c>
      <c r="G177" s="6">
        <v>232.9</v>
      </c>
      <c r="H177">
        <v>0.09</v>
      </c>
    </row>
    <row r="178" spans="1:8" x14ac:dyDescent="0.2">
      <c r="A178" s="1">
        <v>41516</v>
      </c>
      <c r="B178" s="1">
        <v>41487</v>
      </c>
      <c r="C178">
        <v>-2.575005E-2</v>
      </c>
      <c r="D178">
        <v>2367.56</v>
      </c>
      <c r="E178">
        <v>2.74</v>
      </c>
      <c r="F178">
        <v>0.04</v>
      </c>
      <c r="G178" s="6">
        <v>233.45599999999999</v>
      </c>
      <c r="H178">
        <v>7.0000000000000007E-2</v>
      </c>
    </row>
    <row r="179" spans="1:8" x14ac:dyDescent="0.2">
      <c r="A179" s="1">
        <v>41547</v>
      </c>
      <c r="B179" s="1">
        <v>41518</v>
      </c>
      <c r="C179">
        <v>3.7497210000000003E-2</v>
      </c>
      <c r="D179">
        <v>2389.46</v>
      </c>
      <c r="E179">
        <v>2.81</v>
      </c>
      <c r="F179">
        <v>0.02</v>
      </c>
      <c r="G179" s="6">
        <v>233.54400000000001</v>
      </c>
      <c r="H179">
        <v>0.06</v>
      </c>
    </row>
    <row r="180" spans="1:8" x14ac:dyDescent="0.2">
      <c r="A180" s="1">
        <v>41578</v>
      </c>
      <c r="B180" s="1">
        <v>41548</v>
      </c>
      <c r="C180">
        <v>3.9888529999999998E-2</v>
      </c>
      <c r="D180">
        <v>2425.2199999999998</v>
      </c>
      <c r="E180">
        <v>2.62</v>
      </c>
      <c r="F180">
        <v>0.05</v>
      </c>
      <c r="G180" s="6">
        <v>233.66900000000001</v>
      </c>
      <c r="H180">
        <v>7.0000000000000007E-2</v>
      </c>
    </row>
    <row r="181" spans="1:8" x14ac:dyDescent="0.2">
      <c r="A181" s="1">
        <v>41607</v>
      </c>
      <c r="B181" s="1">
        <v>41579</v>
      </c>
      <c r="C181">
        <v>2.4956390000000002E-2</v>
      </c>
      <c r="D181">
        <v>2418.2399999999998</v>
      </c>
      <c r="E181">
        <v>2.72</v>
      </c>
      <c r="F181">
        <v>7.0000000000000007E-2</v>
      </c>
      <c r="G181" s="6">
        <v>234.1</v>
      </c>
      <c r="H181">
        <v>7.0000000000000007E-2</v>
      </c>
    </row>
    <row r="182" spans="1:8" x14ac:dyDescent="0.2">
      <c r="A182" s="1">
        <v>41639</v>
      </c>
      <c r="B182" s="1">
        <v>41609</v>
      </c>
      <c r="C182">
        <v>2.6139880000000001E-2</v>
      </c>
      <c r="D182">
        <v>2413.9</v>
      </c>
      <c r="E182">
        <v>2.9</v>
      </c>
      <c r="F182">
        <v>7.0000000000000007E-2</v>
      </c>
      <c r="G182" s="6">
        <v>234.71899999999999</v>
      </c>
      <c r="H182">
        <v>7.0000000000000007E-2</v>
      </c>
    </row>
    <row r="183" spans="1:8" x14ac:dyDescent="0.2">
      <c r="A183" s="1">
        <v>41670</v>
      </c>
      <c r="B183" s="1">
        <v>41640</v>
      </c>
      <c r="C183">
        <v>-3.0019710000000002E-2</v>
      </c>
      <c r="D183">
        <v>2456.9699999999998</v>
      </c>
      <c r="E183">
        <v>2.86</v>
      </c>
      <c r="F183">
        <v>0.04</v>
      </c>
      <c r="G183" s="6">
        <v>235.28800000000001</v>
      </c>
      <c r="H183">
        <v>7.0000000000000007E-2</v>
      </c>
    </row>
    <row r="184" spans="1:8" x14ac:dyDescent="0.2">
      <c r="A184" s="1">
        <v>41698</v>
      </c>
      <c r="B184" s="1">
        <v>41671</v>
      </c>
      <c r="C184">
        <v>4.6198340000000004E-2</v>
      </c>
      <c r="D184">
        <v>2483.9299999999998</v>
      </c>
      <c r="E184">
        <v>2.71</v>
      </c>
      <c r="F184">
        <v>0.05</v>
      </c>
      <c r="G184" s="6">
        <v>235.547</v>
      </c>
      <c r="H184">
        <v>0.06</v>
      </c>
    </row>
    <row r="185" spans="1:8" x14ac:dyDescent="0.2">
      <c r="A185" s="1">
        <v>41729</v>
      </c>
      <c r="B185" s="1">
        <v>41699</v>
      </c>
      <c r="C185">
        <v>4.5402910000000001E-3</v>
      </c>
      <c r="D185">
        <v>2485.6999999999998</v>
      </c>
      <c r="E185">
        <v>2.72</v>
      </c>
      <c r="F185">
        <v>0.05</v>
      </c>
      <c r="G185" s="6">
        <v>236.02799999999999</v>
      </c>
      <c r="H185">
        <v>0.06</v>
      </c>
    </row>
    <row r="186" spans="1:8" x14ac:dyDescent="0.2">
      <c r="A186" s="1">
        <v>41759</v>
      </c>
      <c r="B186" s="1">
        <v>41730</v>
      </c>
      <c r="C186">
        <v>1.5731880000000001E-3</v>
      </c>
      <c r="D186">
        <v>2514.6799999999998</v>
      </c>
      <c r="E186">
        <v>2.71</v>
      </c>
      <c r="F186">
        <v>0.03</v>
      </c>
      <c r="G186" s="6">
        <v>236.46799999999999</v>
      </c>
      <c r="H186">
        <v>0.09</v>
      </c>
    </row>
    <row r="187" spans="1:8" x14ac:dyDescent="0.2">
      <c r="A187" s="1">
        <v>41789</v>
      </c>
      <c r="B187" s="1">
        <v>41760</v>
      </c>
      <c r="C187">
        <v>2.0254009999999999E-2</v>
      </c>
      <c r="D187">
        <v>2553.13</v>
      </c>
      <c r="E187">
        <v>2.56</v>
      </c>
      <c r="F187">
        <v>0.03</v>
      </c>
      <c r="G187" s="6">
        <v>236.91800000000001</v>
      </c>
      <c r="H187">
        <v>0.08</v>
      </c>
    </row>
    <row r="188" spans="1:8" x14ac:dyDescent="0.2">
      <c r="A188" s="1">
        <v>41820</v>
      </c>
      <c r="B188" s="1">
        <v>41791</v>
      </c>
      <c r="C188">
        <v>2.797293E-2</v>
      </c>
      <c r="D188">
        <v>2557.41</v>
      </c>
      <c r="E188">
        <v>2.6</v>
      </c>
      <c r="F188">
        <v>0.04</v>
      </c>
      <c r="G188" s="6">
        <v>237.23099999999999</v>
      </c>
      <c r="H188">
        <v>0.09</v>
      </c>
    </row>
    <row r="189" spans="1:8" x14ac:dyDescent="0.2">
      <c r="A189" s="1">
        <v>41851</v>
      </c>
      <c r="B189" s="1">
        <v>41821</v>
      </c>
      <c r="C189">
        <v>-2.0554929999999999E-2</v>
      </c>
      <c r="D189">
        <v>2554.4</v>
      </c>
      <c r="E189">
        <v>2.54</v>
      </c>
      <c r="F189">
        <v>0.03</v>
      </c>
      <c r="G189" s="6">
        <v>237.49799999999999</v>
      </c>
      <c r="H189">
        <v>0.08</v>
      </c>
    </row>
    <row r="190" spans="1:8" x14ac:dyDescent="0.2">
      <c r="A190" s="1">
        <v>41880</v>
      </c>
      <c r="B190" s="1">
        <v>41852</v>
      </c>
      <c r="C190">
        <v>4.0205350000000001E-2</v>
      </c>
      <c r="D190">
        <v>2590.85</v>
      </c>
      <c r="E190">
        <v>2.42</v>
      </c>
      <c r="F190">
        <v>0.03</v>
      </c>
      <c r="G190" s="6">
        <v>237.46</v>
      </c>
      <c r="H190">
        <v>7.0000000000000007E-2</v>
      </c>
    </row>
    <row r="191" spans="1:8" x14ac:dyDescent="0.2">
      <c r="A191" s="1">
        <v>41912</v>
      </c>
      <c r="B191" s="1">
        <v>41883</v>
      </c>
      <c r="C191">
        <v>-2.5195749999999999E-2</v>
      </c>
      <c r="D191">
        <v>2558.64</v>
      </c>
      <c r="E191">
        <v>2.5299999999999998</v>
      </c>
      <c r="F191">
        <v>0.02</v>
      </c>
      <c r="G191" s="6">
        <v>237.477</v>
      </c>
      <c r="H191">
        <v>7.0000000000000007E-2</v>
      </c>
    </row>
    <row r="192" spans="1:8" x14ac:dyDescent="0.2">
      <c r="A192" s="1">
        <v>41943</v>
      </c>
      <c r="B192" s="1">
        <v>41913</v>
      </c>
      <c r="C192">
        <v>2.1163919999999999E-2</v>
      </c>
      <c r="D192">
        <v>2582.52</v>
      </c>
      <c r="E192">
        <v>2.2999999999999998</v>
      </c>
      <c r="F192">
        <v>0.02</v>
      </c>
      <c r="G192" s="6">
        <v>237.43</v>
      </c>
      <c r="H192">
        <v>7.0000000000000007E-2</v>
      </c>
    </row>
    <row r="193" spans="1:8" x14ac:dyDescent="0.2">
      <c r="A193" s="1">
        <v>41971</v>
      </c>
      <c r="B193" s="1">
        <v>41944</v>
      </c>
      <c r="C193">
        <v>2.1104009999999999E-2</v>
      </c>
      <c r="D193">
        <v>2598.92</v>
      </c>
      <c r="E193">
        <v>2.33</v>
      </c>
      <c r="F193">
        <v>0.02</v>
      </c>
      <c r="G193" s="6">
        <v>236.983</v>
      </c>
      <c r="H193">
        <v>0.08</v>
      </c>
    </row>
    <row r="194" spans="1:8" x14ac:dyDescent="0.2">
      <c r="A194" s="1">
        <v>42004</v>
      </c>
      <c r="B194" s="1">
        <v>41974</v>
      </c>
      <c r="C194">
        <v>-3.659041E-3</v>
      </c>
      <c r="D194">
        <v>2595.2800000000002</v>
      </c>
      <c r="E194">
        <v>2.21</v>
      </c>
      <c r="F194">
        <v>0.03</v>
      </c>
      <c r="G194" s="6">
        <v>236.25200000000001</v>
      </c>
      <c r="H194">
        <v>0.06</v>
      </c>
    </row>
    <row r="195" spans="1:8" x14ac:dyDescent="0.2">
      <c r="A195" s="1">
        <v>42034</v>
      </c>
      <c r="B195" s="1">
        <v>42005</v>
      </c>
      <c r="C195">
        <v>-2.7163099999999999E-2</v>
      </c>
      <c r="D195">
        <v>2666.4</v>
      </c>
      <c r="E195">
        <v>1.88</v>
      </c>
      <c r="F195">
        <v>0.03</v>
      </c>
      <c r="G195" s="6">
        <v>234.74700000000001</v>
      </c>
      <c r="H195">
        <v>0.06</v>
      </c>
    </row>
    <row r="196" spans="1:8" x14ac:dyDescent="0.2">
      <c r="A196" s="1">
        <v>42062</v>
      </c>
      <c r="B196" s="1">
        <v>42036</v>
      </c>
      <c r="C196">
        <v>5.5915320000000004E-2</v>
      </c>
      <c r="D196">
        <v>2644.11</v>
      </c>
      <c r="E196">
        <v>1.98</v>
      </c>
      <c r="F196">
        <v>0.02</v>
      </c>
      <c r="G196" s="6">
        <v>235.34200000000001</v>
      </c>
      <c r="H196">
        <v>0.06</v>
      </c>
    </row>
    <row r="197" spans="1:8" x14ac:dyDescent="0.2">
      <c r="A197" s="1">
        <v>42094</v>
      </c>
      <c r="B197" s="1">
        <v>42064</v>
      </c>
      <c r="C197">
        <v>-1.039692E-2</v>
      </c>
      <c r="D197">
        <v>2653.93</v>
      </c>
      <c r="E197">
        <v>2.04</v>
      </c>
      <c r="F197">
        <v>0.03</v>
      </c>
      <c r="G197" s="6">
        <v>235.976</v>
      </c>
      <c r="H197">
        <v>0.06</v>
      </c>
    </row>
    <row r="198" spans="1:8" x14ac:dyDescent="0.2">
      <c r="A198" s="1">
        <v>42124</v>
      </c>
      <c r="B198" s="1">
        <v>42095</v>
      </c>
      <c r="C198">
        <v>8.7658250000000014E-3</v>
      </c>
      <c r="D198">
        <v>2639.76</v>
      </c>
      <c r="E198">
        <v>1.94</v>
      </c>
      <c r="F198">
        <v>0.02</v>
      </c>
      <c r="G198" s="6">
        <v>236.22200000000001</v>
      </c>
      <c r="H198">
        <v>0.08</v>
      </c>
    </row>
    <row r="199" spans="1:8" x14ac:dyDescent="0.2">
      <c r="A199" s="1">
        <v>42153</v>
      </c>
      <c r="B199" s="1">
        <v>42125</v>
      </c>
      <c r="C199">
        <v>1.0277420000000001E-2</v>
      </c>
      <c r="D199">
        <v>2626.42</v>
      </c>
      <c r="E199">
        <v>2.2000000000000002</v>
      </c>
      <c r="F199">
        <v>0.02</v>
      </c>
      <c r="G199" s="6">
        <v>237.001</v>
      </c>
      <c r="H199">
        <v>0.08</v>
      </c>
    </row>
    <row r="200" spans="1:8" x14ac:dyDescent="0.2">
      <c r="A200" s="1">
        <v>42185</v>
      </c>
      <c r="B200" s="1">
        <v>42156</v>
      </c>
      <c r="C200">
        <v>-1.923101E-2</v>
      </c>
      <c r="D200">
        <v>2583.36</v>
      </c>
      <c r="E200">
        <v>2.36</v>
      </c>
      <c r="F200">
        <v>0.02</v>
      </c>
      <c r="G200" s="6">
        <v>237.65700000000001</v>
      </c>
      <c r="H200">
        <v>0.08</v>
      </c>
    </row>
    <row r="201" spans="1:8" x14ac:dyDescent="0.2">
      <c r="A201" s="1">
        <v>42216</v>
      </c>
      <c r="B201" s="1">
        <v>42186</v>
      </c>
      <c r="C201">
        <v>1.210751E-2</v>
      </c>
      <c r="D201">
        <v>2597.2800000000002</v>
      </c>
      <c r="E201">
        <v>2.3199999999999998</v>
      </c>
      <c r="F201">
        <v>0.03</v>
      </c>
      <c r="G201" s="6">
        <v>238.03399999999999</v>
      </c>
      <c r="H201">
        <v>0.08</v>
      </c>
    </row>
    <row r="202" spans="1:8" x14ac:dyDescent="0.2">
      <c r="A202" s="1">
        <v>42247</v>
      </c>
      <c r="B202" s="1">
        <v>42217</v>
      </c>
      <c r="C202">
        <v>-5.9926440000000004E-2</v>
      </c>
      <c r="D202">
        <v>2579.86</v>
      </c>
      <c r="E202">
        <v>2.17</v>
      </c>
      <c r="F202">
        <v>7.0000000000000007E-2</v>
      </c>
      <c r="G202" s="6">
        <v>238.03299999999999</v>
      </c>
      <c r="H202">
        <v>0.08</v>
      </c>
    </row>
    <row r="203" spans="1:8" x14ac:dyDescent="0.2">
      <c r="A203" s="1">
        <v>42277</v>
      </c>
      <c r="B203" s="1">
        <v>42248</v>
      </c>
      <c r="C203">
        <v>-3.375591E-2</v>
      </c>
      <c r="D203">
        <v>2593.38</v>
      </c>
      <c r="E203">
        <v>2.17</v>
      </c>
      <c r="F203">
        <v>0.02</v>
      </c>
      <c r="G203" s="6">
        <v>237.49799999999999</v>
      </c>
      <c r="H203">
        <v>7.0000000000000007E-2</v>
      </c>
    </row>
    <row r="204" spans="1:8" x14ac:dyDescent="0.2">
      <c r="A204" s="1">
        <v>42307</v>
      </c>
      <c r="B204" s="1">
        <v>42278</v>
      </c>
      <c r="C204">
        <v>7.3937210000000003E-2</v>
      </c>
      <c r="D204">
        <v>2607.2800000000002</v>
      </c>
      <c r="E204">
        <v>2.0699999999999998</v>
      </c>
      <c r="F204">
        <v>0.02</v>
      </c>
      <c r="G204" s="6">
        <v>237.733</v>
      </c>
      <c r="H204">
        <v>7.0000000000000007E-2</v>
      </c>
    </row>
    <row r="205" spans="1:8" x14ac:dyDescent="0.2">
      <c r="A205" s="1">
        <v>42338</v>
      </c>
      <c r="B205" s="1">
        <v>42309</v>
      </c>
      <c r="C205">
        <v>2.404462E-3</v>
      </c>
      <c r="D205">
        <v>2601.44</v>
      </c>
      <c r="E205">
        <v>2.2599999999999998</v>
      </c>
      <c r="F205">
        <v>0.12</v>
      </c>
      <c r="G205" s="6">
        <v>238.017</v>
      </c>
      <c r="H205">
        <v>0.08</v>
      </c>
    </row>
    <row r="206" spans="1:8" x14ac:dyDescent="0.2">
      <c r="A206" s="1">
        <v>42369</v>
      </c>
      <c r="B206" s="1">
        <v>42339</v>
      </c>
      <c r="C206">
        <v>-2.2209320000000001E-2</v>
      </c>
      <c r="D206">
        <v>2578.89</v>
      </c>
      <c r="E206">
        <v>2.2400000000000002</v>
      </c>
      <c r="F206">
        <v>0.23</v>
      </c>
      <c r="G206" s="6">
        <v>237.761</v>
      </c>
      <c r="H206">
        <v>0.2</v>
      </c>
    </row>
    <row r="207" spans="1:8" x14ac:dyDescent="0.2">
      <c r="A207" s="1">
        <v>42398</v>
      </c>
      <c r="B207" s="1">
        <v>42370</v>
      </c>
      <c r="C207">
        <v>-5.7084570000000001E-2</v>
      </c>
      <c r="D207">
        <v>2590.1999999999998</v>
      </c>
      <c r="E207">
        <v>2.09</v>
      </c>
      <c r="F207">
        <v>0.26</v>
      </c>
      <c r="G207" s="6">
        <v>237.65199999999999</v>
      </c>
      <c r="H207">
        <v>0.28999999999999998</v>
      </c>
    </row>
    <row r="208" spans="1:8" x14ac:dyDescent="0.2">
      <c r="A208" s="1">
        <v>42429</v>
      </c>
      <c r="B208" s="1">
        <v>42401</v>
      </c>
      <c r="C208">
        <v>6.2028810000000001E-4</v>
      </c>
      <c r="D208">
        <v>2609.23</v>
      </c>
      <c r="E208">
        <v>1.78</v>
      </c>
      <c r="F208">
        <v>0.31</v>
      </c>
      <c r="G208" s="6">
        <v>237.33600000000001</v>
      </c>
      <c r="H208">
        <v>0.28999999999999998</v>
      </c>
    </row>
    <row r="209" spans="1:8" x14ac:dyDescent="0.2">
      <c r="A209" s="1">
        <v>42460</v>
      </c>
      <c r="B209" s="1">
        <v>42430</v>
      </c>
      <c r="C209">
        <v>7.0491399999999996E-2</v>
      </c>
      <c r="D209">
        <v>2680.05</v>
      </c>
      <c r="E209">
        <v>1.89</v>
      </c>
      <c r="F209">
        <v>0.28999999999999998</v>
      </c>
      <c r="G209" s="6">
        <v>238.08</v>
      </c>
      <c r="H209">
        <v>0.25</v>
      </c>
    </row>
    <row r="210" spans="1:8" x14ac:dyDescent="0.2">
      <c r="A210" s="1">
        <v>42489</v>
      </c>
      <c r="B210" s="1">
        <v>42461</v>
      </c>
      <c r="C210">
        <v>1.17175E-2</v>
      </c>
      <c r="D210">
        <v>2716.51</v>
      </c>
      <c r="E210">
        <v>1.81</v>
      </c>
      <c r="F210">
        <v>0.23</v>
      </c>
      <c r="G210" s="6">
        <v>238.99199999999999</v>
      </c>
      <c r="H210">
        <v>0.3</v>
      </c>
    </row>
    <row r="211" spans="1:8" x14ac:dyDescent="0.2">
      <c r="A211" s="1">
        <v>42521</v>
      </c>
      <c r="B211" s="1">
        <v>42491</v>
      </c>
      <c r="C211">
        <v>1.433951E-2</v>
      </c>
      <c r="D211">
        <v>2714.74</v>
      </c>
      <c r="E211">
        <v>1.81</v>
      </c>
      <c r="F211">
        <v>0.27</v>
      </c>
      <c r="G211" s="6">
        <v>239.55699999999999</v>
      </c>
      <c r="H211">
        <v>0.28999999999999998</v>
      </c>
    </row>
    <row r="212" spans="1:8" x14ac:dyDescent="0.2">
      <c r="A212" s="1">
        <v>42551</v>
      </c>
      <c r="B212" s="1">
        <v>42522</v>
      </c>
      <c r="C212">
        <v>2.946602E-3</v>
      </c>
      <c r="D212">
        <v>2773.91</v>
      </c>
      <c r="E212">
        <v>1.64</v>
      </c>
      <c r="F212">
        <v>0.27</v>
      </c>
      <c r="G212" s="6">
        <v>240.22200000000001</v>
      </c>
      <c r="H212">
        <v>0.3</v>
      </c>
    </row>
    <row r="213" spans="1:8" x14ac:dyDescent="0.2">
      <c r="A213" s="1">
        <v>42580</v>
      </c>
      <c r="B213" s="1">
        <v>42552</v>
      </c>
      <c r="C213">
        <v>3.8814660000000001E-2</v>
      </c>
      <c r="D213">
        <v>2814.14</v>
      </c>
      <c r="E213">
        <v>1.5</v>
      </c>
      <c r="F213">
        <v>0.3</v>
      </c>
      <c r="G213" s="6">
        <v>240.101</v>
      </c>
      <c r="H213">
        <v>0.3</v>
      </c>
    </row>
    <row r="214" spans="1:8" x14ac:dyDescent="0.2">
      <c r="A214" s="1">
        <v>42613</v>
      </c>
      <c r="B214" s="1">
        <v>42583</v>
      </c>
      <c r="C214">
        <v>2.8002220000000002E-3</v>
      </c>
      <c r="D214">
        <v>2821.85</v>
      </c>
      <c r="E214">
        <v>1.56</v>
      </c>
      <c r="F214">
        <v>0.3</v>
      </c>
      <c r="G214" s="6">
        <v>240.54499999999999</v>
      </c>
      <c r="H214">
        <v>0.3</v>
      </c>
    </row>
    <row r="215" spans="1:8" x14ac:dyDescent="0.2">
      <c r="A215" s="1">
        <v>42643</v>
      </c>
      <c r="B215" s="1">
        <v>42614</v>
      </c>
      <c r="C215">
        <v>3.0134420000000003E-3</v>
      </c>
      <c r="D215">
        <v>2813.72</v>
      </c>
      <c r="E215">
        <v>1.63</v>
      </c>
      <c r="F215">
        <v>0.28999999999999998</v>
      </c>
      <c r="G215" s="6">
        <v>241.17599999999999</v>
      </c>
      <c r="H215">
        <v>0.28999999999999998</v>
      </c>
    </row>
    <row r="216" spans="1:8" x14ac:dyDescent="0.2">
      <c r="A216" s="1">
        <v>42674</v>
      </c>
      <c r="B216" s="1">
        <v>42644</v>
      </c>
      <c r="C216">
        <v>-2.1543730000000001E-2</v>
      </c>
      <c r="D216">
        <v>2790.43</v>
      </c>
      <c r="E216">
        <v>1.76</v>
      </c>
      <c r="F216">
        <v>0.33</v>
      </c>
      <c r="G216" s="6">
        <v>241.74100000000001</v>
      </c>
      <c r="H216">
        <v>0.31</v>
      </c>
    </row>
    <row r="217" spans="1:8" x14ac:dyDescent="0.2">
      <c r="A217" s="1">
        <v>42704</v>
      </c>
      <c r="B217" s="1">
        <v>42675</v>
      </c>
      <c r="C217">
        <v>4.0487590000000004E-2</v>
      </c>
      <c r="D217">
        <v>2715.67</v>
      </c>
      <c r="E217">
        <v>2.14</v>
      </c>
      <c r="F217">
        <v>0.45</v>
      </c>
      <c r="G217" s="6">
        <v>242.02600000000001</v>
      </c>
      <c r="H217">
        <v>0.31</v>
      </c>
    </row>
    <row r="218" spans="1:8" x14ac:dyDescent="0.2">
      <c r="A218" s="1">
        <v>42734</v>
      </c>
      <c r="B218" s="1">
        <v>42705</v>
      </c>
      <c r="C218">
        <v>1.876276E-2</v>
      </c>
      <c r="D218">
        <v>2732.66</v>
      </c>
      <c r="E218">
        <v>2.4900000000000002</v>
      </c>
      <c r="F218">
        <v>0.51</v>
      </c>
      <c r="G218" s="6">
        <v>242.637</v>
      </c>
      <c r="H218">
        <v>0.55000000000000004</v>
      </c>
    </row>
    <row r="219" spans="1:8" x14ac:dyDescent="0.2">
      <c r="A219" s="1">
        <v>42766</v>
      </c>
      <c r="B219" s="1">
        <v>42736</v>
      </c>
      <c r="C219">
        <v>2.2153329999999999E-2</v>
      </c>
      <c r="D219">
        <v>2743.87</v>
      </c>
      <c r="E219">
        <v>2.4300000000000002</v>
      </c>
      <c r="F219">
        <v>0.51</v>
      </c>
      <c r="G219" s="6">
        <v>243.61799999999999</v>
      </c>
      <c r="H219">
        <v>0.56000000000000005</v>
      </c>
    </row>
    <row r="220" spans="1:8" x14ac:dyDescent="0.2">
      <c r="A220" s="1">
        <v>42794</v>
      </c>
      <c r="B220" s="1">
        <v>42767</v>
      </c>
      <c r="C220">
        <v>3.2598380000000003E-2</v>
      </c>
      <c r="D220">
        <v>2774.91</v>
      </c>
      <c r="E220">
        <v>2.42</v>
      </c>
      <c r="F220">
        <v>0.52</v>
      </c>
      <c r="G220" s="6">
        <v>244.006</v>
      </c>
      <c r="H220">
        <v>0.56999999999999995</v>
      </c>
    </row>
    <row r="221" spans="1:8" x14ac:dyDescent="0.2">
      <c r="A221" s="1">
        <v>42825</v>
      </c>
      <c r="B221" s="1">
        <v>42795</v>
      </c>
      <c r="C221">
        <v>2.061818E-3</v>
      </c>
      <c r="D221">
        <v>2771.49</v>
      </c>
      <c r="E221">
        <v>2.48</v>
      </c>
      <c r="F221">
        <v>0.74</v>
      </c>
      <c r="G221" s="6">
        <v>243.892</v>
      </c>
      <c r="H221">
        <v>0.82</v>
      </c>
    </row>
    <row r="222" spans="1:8" x14ac:dyDescent="0.2">
      <c r="A222" s="1">
        <v>42853</v>
      </c>
      <c r="B222" s="1">
        <v>42826</v>
      </c>
      <c r="C222">
        <v>9.6550310000000014E-3</v>
      </c>
      <c r="D222">
        <v>2799.14</v>
      </c>
      <c r="E222">
        <v>2.2999999999999998</v>
      </c>
      <c r="F222">
        <v>0.8</v>
      </c>
      <c r="G222" s="6">
        <v>244.19300000000001</v>
      </c>
      <c r="H222">
        <v>0.83</v>
      </c>
    </row>
    <row r="223" spans="1:8" x14ac:dyDescent="0.2">
      <c r="A223" s="1">
        <v>42886</v>
      </c>
      <c r="B223" s="1">
        <v>42856</v>
      </c>
      <c r="C223">
        <v>9.3348040000000004E-3</v>
      </c>
      <c r="D223">
        <v>2831.68</v>
      </c>
      <c r="E223">
        <v>2.2999999999999998</v>
      </c>
      <c r="F223">
        <v>0.89</v>
      </c>
      <c r="G223" s="6">
        <v>244.00399999999999</v>
      </c>
      <c r="H223">
        <v>0.83</v>
      </c>
    </row>
    <row r="224" spans="1:8" x14ac:dyDescent="0.2">
      <c r="A224" s="1">
        <v>42916</v>
      </c>
      <c r="B224" s="1">
        <v>42887</v>
      </c>
      <c r="C224">
        <v>9.570691000000001E-3</v>
      </c>
      <c r="D224">
        <v>2838.63</v>
      </c>
      <c r="E224">
        <v>2.19</v>
      </c>
      <c r="F224">
        <v>0.98</v>
      </c>
      <c r="G224" s="6">
        <v>244.16300000000001</v>
      </c>
      <c r="H224">
        <v>1.06</v>
      </c>
    </row>
    <row r="225" spans="1:8" x14ac:dyDescent="0.2">
      <c r="A225" s="1">
        <v>42947</v>
      </c>
      <c r="B225" s="1">
        <v>42917</v>
      </c>
      <c r="C225">
        <v>2.0277440000000001E-2</v>
      </c>
      <c r="D225">
        <v>2859.84</v>
      </c>
      <c r="E225">
        <v>2.3199999999999998</v>
      </c>
      <c r="F225">
        <v>1.07</v>
      </c>
      <c r="G225" s="6">
        <v>244.24299999999999</v>
      </c>
      <c r="H225">
        <v>1.07</v>
      </c>
    </row>
    <row r="226" spans="1:8" x14ac:dyDescent="0.2">
      <c r="A226" s="1">
        <v>42978</v>
      </c>
      <c r="B226" s="1">
        <v>42948</v>
      </c>
      <c r="C226">
        <v>1.6003310000000002E-3</v>
      </c>
      <c r="D226">
        <v>2884.06</v>
      </c>
      <c r="E226">
        <v>2.21</v>
      </c>
      <c r="F226">
        <v>1.01</v>
      </c>
      <c r="G226" s="6">
        <v>245.18299999999999</v>
      </c>
      <c r="H226">
        <v>1.07</v>
      </c>
    </row>
    <row r="227" spans="1:8" x14ac:dyDescent="0.2">
      <c r="A227" s="1">
        <v>43007</v>
      </c>
      <c r="B227" s="1">
        <v>42979</v>
      </c>
      <c r="C227">
        <v>2.3729050000000002E-2</v>
      </c>
      <c r="D227">
        <v>2877.48</v>
      </c>
      <c r="E227">
        <v>2.2000000000000002</v>
      </c>
      <c r="F227">
        <v>1.03</v>
      </c>
      <c r="G227" s="6">
        <v>246.435</v>
      </c>
      <c r="H227">
        <v>1.06</v>
      </c>
    </row>
    <row r="228" spans="1:8" x14ac:dyDescent="0.2">
      <c r="A228" s="1">
        <v>43039</v>
      </c>
      <c r="B228" s="1">
        <v>43009</v>
      </c>
      <c r="C228">
        <v>1.9274800000000002E-2</v>
      </c>
      <c r="D228">
        <v>2889.09</v>
      </c>
      <c r="E228">
        <v>2.36</v>
      </c>
      <c r="F228">
        <v>1.07</v>
      </c>
      <c r="G228" s="6">
        <v>246.626</v>
      </c>
      <c r="H228">
        <v>1.07</v>
      </c>
    </row>
    <row r="229" spans="1:8" x14ac:dyDescent="0.2">
      <c r="A229" s="1">
        <v>43069</v>
      </c>
      <c r="B229" s="1">
        <v>43040</v>
      </c>
      <c r="C229">
        <v>2.7231450000000001E-2</v>
      </c>
      <c r="D229">
        <v>2885.04</v>
      </c>
      <c r="E229">
        <v>2.35</v>
      </c>
      <c r="F229">
        <v>1.23</v>
      </c>
      <c r="G229" s="6">
        <v>247.28399999999999</v>
      </c>
      <c r="H229">
        <v>1.07</v>
      </c>
    </row>
    <row r="230" spans="1:8" x14ac:dyDescent="0.2">
      <c r="A230" s="1">
        <v>43098</v>
      </c>
      <c r="B230" s="1">
        <v>43070</v>
      </c>
      <c r="C230">
        <v>1.212235E-2</v>
      </c>
      <c r="D230">
        <v>2909.64</v>
      </c>
      <c r="E230">
        <v>2.4</v>
      </c>
      <c r="F230">
        <v>1.32</v>
      </c>
      <c r="G230" s="6">
        <v>247.80500000000001</v>
      </c>
      <c r="H230">
        <v>1.33</v>
      </c>
    </row>
    <row r="231" spans="1:8" x14ac:dyDescent="0.2">
      <c r="A231" s="1">
        <v>43131</v>
      </c>
      <c r="B231" s="1">
        <v>43101</v>
      </c>
      <c r="C231">
        <v>5.0576549999999998E-2</v>
      </c>
      <c r="D231">
        <v>2882.75</v>
      </c>
      <c r="E231">
        <v>2.58</v>
      </c>
      <c r="F231">
        <v>1.41</v>
      </c>
      <c r="G231" s="6">
        <v>248.85900000000001</v>
      </c>
      <c r="H231">
        <v>1.34</v>
      </c>
    </row>
    <row r="232" spans="1:8" x14ac:dyDescent="0.2">
      <c r="A232" s="1">
        <v>43159</v>
      </c>
      <c r="B232" s="1">
        <v>43132</v>
      </c>
      <c r="C232">
        <v>-3.9454500000000003E-2</v>
      </c>
      <c r="D232">
        <v>2839.61</v>
      </c>
      <c r="E232">
        <v>2.86</v>
      </c>
      <c r="F232">
        <v>1.57</v>
      </c>
      <c r="G232" s="6">
        <v>249.529</v>
      </c>
      <c r="H232">
        <v>1.35</v>
      </c>
    </row>
    <row r="233" spans="1:8" x14ac:dyDescent="0.2">
      <c r="A233" s="1">
        <v>43188</v>
      </c>
      <c r="B233" s="1">
        <v>43160</v>
      </c>
      <c r="C233">
        <v>-1.8421E-2</v>
      </c>
      <c r="D233">
        <v>2845.72</v>
      </c>
      <c r="E233">
        <v>2.84</v>
      </c>
      <c r="F233">
        <v>1.7</v>
      </c>
      <c r="G233" s="6">
        <v>249.577</v>
      </c>
      <c r="H233">
        <v>1.67</v>
      </c>
    </row>
    <row r="234" spans="1:8" x14ac:dyDescent="0.2">
      <c r="A234" s="1">
        <v>43220</v>
      </c>
      <c r="B234" s="1">
        <v>43191</v>
      </c>
      <c r="C234">
        <v>4.6788350000000001E-3</v>
      </c>
      <c r="D234">
        <v>2821.48</v>
      </c>
      <c r="E234">
        <v>2.87</v>
      </c>
      <c r="F234">
        <v>1.76</v>
      </c>
      <c r="G234" s="6">
        <v>250.227</v>
      </c>
      <c r="H234">
        <v>1.69</v>
      </c>
    </row>
    <row r="235" spans="1:8" x14ac:dyDescent="0.2">
      <c r="A235" s="1">
        <v>43251</v>
      </c>
      <c r="B235" s="1">
        <v>43221</v>
      </c>
      <c r="C235">
        <v>2.6145640000000001E-2</v>
      </c>
      <c r="D235">
        <v>2834.18</v>
      </c>
      <c r="E235">
        <v>2.98</v>
      </c>
      <c r="F235">
        <v>1.86</v>
      </c>
      <c r="G235" s="6">
        <v>250.792</v>
      </c>
      <c r="H235">
        <v>1.7</v>
      </c>
    </row>
    <row r="236" spans="1:8" x14ac:dyDescent="0.2">
      <c r="A236" s="1">
        <v>43280</v>
      </c>
      <c r="B236" s="1">
        <v>43252</v>
      </c>
      <c r="C236">
        <v>5.3594790000000003E-3</v>
      </c>
      <c r="D236">
        <v>2818.89</v>
      </c>
      <c r="E236">
        <v>2.91</v>
      </c>
      <c r="F236">
        <v>1.9</v>
      </c>
      <c r="G236" s="6">
        <v>251.018</v>
      </c>
      <c r="H236">
        <v>1.91</v>
      </c>
    </row>
    <row r="237" spans="1:8" x14ac:dyDescent="0.2">
      <c r="A237" s="1">
        <v>43312</v>
      </c>
      <c r="B237" s="1">
        <v>43282</v>
      </c>
      <c r="C237">
        <v>3.157314E-2</v>
      </c>
      <c r="D237">
        <v>2839.77</v>
      </c>
      <c r="E237">
        <v>2.89</v>
      </c>
      <c r="F237">
        <v>1.96</v>
      </c>
      <c r="G237" s="6">
        <v>251.214</v>
      </c>
      <c r="H237">
        <v>1.91</v>
      </c>
    </row>
    <row r="238" spans="1:8" x14ac:dyDescent="0.2">
      <c r="A238" s="1">
        <v>43343</v>
      </c>
      <c r="B238" s="1">
        <v>43313</v>
      </c>
      <c r="C238">
        <v>3.0233019999999999E-2</v>
      </c>
      <c r="D238">
        <v>2855.22</v>
      </c>
      <c r="E238">
        <v>2.89</v>
      </c>
      <c r="F238">
        <v>2.0299999999999998</v>
      </c>
      <c r="G238" s="6">
        <v>251.66300000000001</v>
      </c>
      <c r="H238">
        <v>1.91</v>
      </c>
    </row>
    <row r="239" spans="1:8" x14ac:dyDescent="0.2">
      <c r="A239" s="1">
        <v>43371</v>
      </c>
      <c r="B239" s="1">
        <v>43344</v>
      </c>
      <c r="C239">
        <v>4.2462020000000002E-4</v>
      </c>
      <c r="D239">
        <v>2845.93</v>
      </c>
      <c r="E239">
        <v>3</v>
      </c>
      <c r="F239">
        <v>2.13</v>
      </c>
      <c r="G239" s="6">
        <v>252.18199999999999</v>
      </c>
      <c r="H239">
        <v>2.1800000000000002</v>
      </c>
    </row>
    <row r="240" spans="1:8" x14ac:dyDescent="0.2">
      <c r="A240" s="1">
        <v>43404</v>
      </c>
      <c r="B240" s="1">
        <v>43374</v>
      </c>
      <c r="C240">
        <v>-7.4045380000000008E-2</v>
      </c>
      <c r="D240">
        <v>2807.48</v>
      </c>
      <c r="E240">
        <v>3.15</v>
      </c>
      <c r="F240">
        <v>2.25</v>
      </c>
      <c r="G240" s="6">
        <v>252.77199999999999</v>
      </c>
      <c r="H240">
        <v>2.2000000000000002</v>
      </c>
    </row>
    <row r="241" spans="1:8" x14ac:dyDescent="0.2">
      <c r="A241" s="1">
        <v>43434</v>
      </c>
      <c r="B241" s="1">
        <v>43405</v>
      </c>
      <c r="C241">
        <v>1.851214E-2</v>
      </c>
      <c r="D241">
        <v>2802.12</v>
      </c>
      <c r="E241">
        <v>3.12</v>
      </c>
      <c r="F241">
        <v>2.33</v>
      </c>
      <c r="G241" s="6">
        <v>252.59399999999999</v>
      </c>
      <c r="H241">
        <v>2.2000000000000002</v>
      </c>
    </row>
    <row r="242" spans="1:8" x14ac:dyDescent="0.2">
      <c r="A242" s="1">
        <v>43465</v>
      </c>
      <c r="B242" s="1">
        <v>43435</v>
      </c>
      <c r="C242">
        <v>-8.9890060000000008E-2</v>
      </c>
      <c r="D242">
        <v>2844.18</v>
      </c>
      <c r="E242">
        <v>2.83</v>
      </c>
      <c r="F242">
        <v>2.37</v>
      </c>
      <c r="G242" s="6">
        <v>252.767</v>
      </c>
      <c r="H242">
        <v>2.4</v>
      </c>
    </row>
    <row r="243" spans="1:8" x14ac:dyDescent="0.2">
      <c r="A243" s="1">
        <v>43496</v>
      </c>
      <c r="B243" s="1">
        <v>43466</v>
      </c>
      <c r="C243">
        <v>8.8293910000000003E-2</v>
      </c>
      <c r="D243">
        <v>2903.72</v>
      </c>
      <c r="E243">
        <v>2.71</v>
      </c>
      <c r="F243">
        <v>2.37</v>
      </c>
      <c r="G243" s="6">
        <v>252.56100000000001</v>
      </c>
      <c r="H243">
        <v>2.4</v>
      </c>
    </row>
    <row r="244" spans="1:8" x14ac:dyDescent="0.2">
      <c r="A244" s="1">
        <v>43524</v>
      </c>
      <c r="B244" s="1">
        <v>43497</v>
      </c>
      <c r="C244">
        <v>3.2724210000000004E-2</v>
      </c>
      <c r="D244">
        <v>2914.16</v>
      </c>
      <c r="E244">
        <v>2.68</v>
      </c>
      <c r="F244">
        <v>2.39</v>
      </c>
      <c r="G244" s="6">
        <v>253.31899999999999</v>
      </c>
      <c r="H244">
        <v>2.4</v>
      </c>
    </row>
    <row r="245" spans="1:8" x14ac:dyDescent="0.2">
      <c r="A245" s="1">
        <v>43553</v>
      </c>
      <c r="B245" s="1">
        <v>43525</v>
      </c>
      <c r="C245">
        <v>1.296229E-2</v>
      </c>
      <c r="D245">
        <v>2986.72</v>
      </c>
      <c r="E245">
        <v>2.57</v>
      </c>
      <c r="F245">
        <v>2.4</v>
      </c>
      <c r="G245" s="6">
        <v>254.27699999999999</v>
      </c>
      <c r="H245">
        <v>2.4300000000000002</v>
      </c>
    </row>
    <row r="246" spans="1:8" x14ac:dyDescent="0.2">
      <c r="A246" s="1">
        <v>43585</v>
      </c>
      <c r="B246" s="1">
        <v>43556</v>
      </c>
      <c r="C246">
        <v>3.789327E-2</v>
      </c>
      <c r="D246">
        <v>3003.35</v>
      </c>
      <c r="E246">
        <v>2.5299999999999998</v>
      </c>
      <c r="F246">
        <v>2.38</v>
      </c>
      <c r="G246" s="6">
        <v>255.233</v>
      </c>
      <c r="H246">
        <v>2.4500000000000002</v>
      </c>
    </row>
    <row r="247" spans="1:8" x14ac:dyDescent="0.2">
      <c r="A247" s="1">
        <v>43616</v>
      </c>
      <c r="B247" s="1">
        <v>43586</v>
      </c>
      <c r="C247">
        <v>-6.167856E-2</v>
      </c>
      <c r="D247">
        <v>3046.43</v>
      </c>
      <c r="E247">
        <v>2.4</v>
      </c>
      <c r="F247">
        <v>2.35</v>
      </c>
      <c r="G247" s="6">
        <v>255.29599999999999</v>
      </c>
      <c r="H247">
        <v>2.4</v>
      </c>
    </row>
    <row r="248" spans="1:8" x14ac:dyDescent="0.2">
      <c r="A248" s="1">
        <v>43644</v>
      </c>
      <c r="B248" s="1">
        <v>43617</v>
      </c>
      <c r="C248">
        <v>6.7278859999999996E-2</v>
      </c>
      <c r="D248">
        <v>3116.5</v>
      </c>
      <c r="E248">
        <v>2.0699999999999998</v>
      </c>
      <c r="F248">
        <v>2.17</v>
      </c>
      <c r="G248" s="6">
        <v>255.21299999999999</v>
      </c>
      <c r="H248">
        <v>2.4</v>
      </c>
    </row>
    <row r="249" spans="1:8" x14ac:dyDescent="0.2">
      <c r="A249" s="1">
        <v>43677</v>
      </c>
      <c r="B249" s="1">
        <v>43647</v>
      </c>
      <c r="C249">
        <v>1.1854390000000001E-2</v>
      </c>
      <c r="D249">
        <v>3136.92</v>
      </c>
      <c r="E249">
        <v>2.06</v>
      </c>
      <c r="F249">
        <v>2.1</v>
      </c>
      <c r="G249" s="6">
        <v>255.80199999999999</v>
      </c>
      <c r="H249">
        <v>2.4</v>
      </c>
    </row>
    <row r="250" spans="1:8" x14ac:dyDescent="0.2">
      <c r="A250" s="1">
        <v>43707</v>
      </c>
      <c r="B250" s="1">
        <v>43678</v>
      </c>
      <c r="C250">
        <v>-2.0339360000000001E-2</v>
      </c>
      <c r="D250">
        <v>3232.16</v>
      </c>
      <c r="E250">
        <v>1.63</v>
      </c>
      <c r="F250">
        <v>1.95</v>
      </c>
      <c r="G250" s="6">
        <v>256.036</v>
      </c>
      <c r="H250">
        <v>2.13</v>
      </c>
    </row>
    <row r="251" spans="1:8" x14ac:dyDescent="0.2">
      <c r="A251" s="1">
        <v>43738</v>
      </c>
      <c r="B251" s="1">
        <v>43709</v>
      </c>
      <c r="C251">
        <v>1.6033040000000002E-2</v>
      </c>
      <c r="D251">
        <v>3212.17</v>
      </c>
      <c r="E251">
        <v>1.7</v>
      </c>
      <c r="F251">
        <v>1.89</v>
      </c>
      <c r="G251" s="6">
        <v>256.43</v>
      </c>
      <c r="H251">
        <v>1.9</v>
      </c>
    </row>
    <row r="252" spans="1:8" x14ac:dyDescent="0.2">
      <c r="A252" s="1">
        <v>43769</v>
      </c>
      <c r="B252" s="1">
        <v>43739</v>
      </c>
      <c r="C252">
        <v>1.9257090000000001E-2</v>
      </c>
      <c r="D252">
        <v>3231.82</v>
      </c>
      <c r="E252">
        <v>1.71</v>
      </c>
      <c r="F252">
        <v>1.65</v>
      </c>
      <c r="G252" s="6">
        <v>257.15499999999997</v>
      </c>
      <c r="H252">
        <v>1.58</v>
      </c>
    </row>
    <row r="253" spans="1:8" x14ac:dyDescent="0.2">
      <c r="A253" s="1">
        <v>43798</v>
      </c>
      <c r="B253" s="1">
        <v>43770</v>
      </c>
      <c r="C253">
        <v>3.4999010000000004E-2</v>
      </c>
      <c r="D253">
        <v>3238.82</v>
      </c>
      <c r="E253">
        <v>1.81</v>
      </c>
      <c r="F253">
        <v>1.54</v>
      </c>
      <c r="G253" s="6">
        <v>257.87900000000002</v>
      </c>
      <c r="H253">
        <v>1.56</v>
      </c>
    </row>
    <row r="254" spans="1:8" x14ac:dyDescent="0.2">
      <c r="A254" s="1">
        <v>43830</v>
      </c>
      <c r="B254" s="1">
        <v>43800</v>
      </c>
      <c r="C254">
        <v>2.8488780000000002E-2</v>
      </c>
      <c r="D254">
        <v>3249.02</v>
      </c>
      <c r="E254">
        <v>1.86</v>
      </c>
      <c r="F254">
        <v>1.54</v>
      </c>
      <c r="G254" s="6">
        <v>258.63</v>
      </c>
      <c r="H254">
        <v>1.55</v>
      </c>
    </row>
    <row r="255" spans="1:8" x14ac:dyDescent="0.2">
      <c r="A255" s="1">
        <v>43861</v>
      </c>
      <c r="B255" s="1">
        <v>43831</v>
      </c>
      <c r="C255">
        <v>-1.727854E-3</v>
      </c>
      <c r="D255">
        <v>3326.21</v>
      </c>
      <c r="E255">
        <v>1.76</v>
      </c>
      <c r="F255">
        <v>1.52</v>
      </c>
      <c r="G255" s="6">
        <v>259.12700000000001</v>
      </c>
      <c r="H255">
        <v>1.59</v>
      </c>
    </row>
    <row r="256" spans="1:8" x14ac:dyDescent="0.2">
      <c r="A256" s="1">
        <v>43889</v>
      </c>
      <c r="B256" s="1">
        <v>43862</v>
      </c>
      <c r="C256">
        <v>-7.7917990000000006E-2</v>
      </c>
      <c r="D256">
        <v>3369.13</v>
      </c>
      <c r="E256">
        <v>1.5</v>
      </c>
      <c r="F256">
        <v>1.52</v>
      </c>
      <c r="G256" s="6">
        <v>259.25</v>
      </c>
      <c r="H256">
        <v>1.58</v>
      </c>
    </row>
    <row r="257" spans="1:8" x14ac:dyDescent="0.2">
      <c r="A257" s="1">
        <v>43921</v>
      </c>
      <c r="B257" s="1">
        <v>43891</v>
      </c>
      <c r="C257">
        <v>-0.14173269999999999</v>
      </c>
      <c r="D257">
        <v>3117.32</v>
      </c>
      <c r="E257">
        <v>0.87</v>
      </c>
      <c r="F257">
        <v>0.28999999999999998</v>
      </c>
      <c r="G257" s="6">
        <v>258.07600000000002</v>
      </c>
      <c r="H257">
        <v>0.08</v>
      </c>
    </row>
    <row r="258" spans="1:8" x14ac:dyDescent="0.2">
      <c r="A258" s="1">
        <v>43951</v>
      </c>
      <c r="B258" s="1">
        <v>43922</v>
      </c>
      <c r="C258">
        <v>0.12967380000000001</v>
      </c>
      <c r="D258">
        <v>3281.69</v>
      </c>
      <c r="E258">
        <v>0.66</v>
      </c>
      <c r="F258">
        <v>0.14000000000000001</v>
      </c>
      <c r="G258" s="6">
        <v>256.03199999999998</v>
      </c>
      <c r="H258">
        <v>0.05</v>
      </c>
    </row>
    <row r="259" spans="1:8" x14ac:dyDescent="0.2">
      <c r="A259" s="1">
        <v>43980</v>
      </c>
      <c r="B259" s="1">
        <v>43952</v>
      </c>
      <c r="C259">
        <v>5.3738750000000002E-2</v>
      </c>
      <c r="D259">
        <v>3339.06</v>
      </c>
      <c r="E259">
        <v>0.67</v>
      </c>
      <c r="F259">
        <v>0.13</v>
      </c>
      <c r="G259" s="6">
        <v>255.80199999999999</v>
      </c>
      <c r="H259">
        <v>0.05</v>
      </c>
    </row>
    <row r="260" spans="1:8" x14ac:dyDescent="0.2">
      <c r="A260" s="1">
        <v>44012</v>
      </c>
      <c r="B260" s="1">
        <v>43983</v>
      </c>
      <c r="C260">
        <v>2.529909E-2</v>
      </c>
      <c r="D260">
        <v>3406.35</v>
      </c>
      <c r="E260">
        <v>0.73</v>
      </c>
      <c r="F260">
        <v>0.16</v>
      </c>
      <c r="G260" s="6">
        <v>257.04199999999997</v>
      </c>
      <c r="H260">
        <v>0.08</v>
      </c>
    </row>
    <row r="261" spans="1:8" x14ac:dyDescent="0.2">
      <c r="A261" s="1">
        <v>44043</v>
      </c>
      <c r="B261" s="1">
        <v>44013</v>
      </c>
      <c r="C261">
        <v>5.5531490000000003E-2</v>
      </c>
      <c r="D261">
        <v>3513.67</v>
      </c>
      <c r="E261">
        <v>0.62</v>
      </c>
      <c r="F261">
        <v>0.13</v>
      </c>
      <c r="G261" s="6">
        <v>258.35199999999998</v>
      </c>
      <c r="H261">
        <v>0.1</v>
      </c>
    </row>
    <row r="262" spans="1:8" x14ac:dyDescent="0.2">
      <c r="A262" s="1">
        <v>44074</v>
      </c>
      <c r="B262" s="1">
        <v>44044</v>
      </c>
      <c r="C262">
        <v>6.8442199999999995E-2</v>
      </c>
      <c r="D262">
        <v>3473.12</v>
      </c>
      <c r="E262">
        <v>0.65</v>
      </c>
      <c r="F262">
        <v>0.1</v>
      </c>
      <c r="G262" s="6">
        <v>259.31599999999997</v>
      </c>
      <c r="H262">
        <v>0.09</v>
      </c>
    </row>
    <row r="263" spans="1:8" x14ac:dyDescent="0.2">
      <c r="A263" s="1">
        <v>44104</v>
      </c>
      <c r="B263" s="1">
        <v>44075</v>
      </c>
      <c r="C263">
        <v>-3.5055990000000002E-2</v>
      </c>
      <c r="D263">
        <v>3463.95</v>
      </c>
      <c r="E263">
        <v>0.68</v>
      </c>
      <c r="F263">
        <v>0.11</v>
      </c>
      <c r="G263" s="6">
        <v>259.99700000000001</v>
      </c>
      <c r="H263">
        <v>0.09</v>
      </c>
    </row>
    <row r="264" spans="1:8" x14ac:dyDescent="0.2">
      <c r="A264" s="1">
        <v>44134</v>
      </c>
      <c r="B264" s="1">
        <v>44105</v>
      </c>
      <c r="C264">
        <v>-2.0178310000000001E-2</v>
      </c>
      <c r="D264">
        <v>3458</v>
      </c>
      <c r="E264">
        <v>0.79</v>
      </c>
      <c r="F264">
        <v>0.1</v>
      </c>
      <c r="G264" s="6">
        <v>260.31900000000002</v>
      </c>
      <c r="H264">
        <v>0.09</v>
      </c>
    </row>
    <row r="265" spans="1:8" x14ac:dyDescent="0.2">
      <c r="A265" s="1">
        <v>44165</v>
      </c>
      <c r="B265" s="1">
        <v>44136</v>
      </c>
      <c r="C265">
        <v>0.123707</v>
      </c>
      <c r="D265">
        <v>3550.19</v>
      </c>
      <c r="E265">
        <v>0.87</v>
      </c>
      <c r="F265">
        <v>0.09</v>
      </c>
      <c r="G265" s="6">
        <v>260.911</v>
      </c>
      <c r="H265">
        <v>0.09</v>
      </c>
    </row>
    <row r="266" spans="1:8" x14ac:dyDescent="0.2">
      <c r="A266" s="1">
        <v>44196</v>
      </c>
      <c r="B266" s="1">
        <v>44166</v>
      </c>
      <c r="C266">
        <v>4.5048299999999999E-2</v>
      </c>
      <c r="D266">
        <v>3567.63</v>
      </c>
      <c r="E266">
        <v>0.93</v>
      </c>
      <c r="F266">
        <v>0.09</v>
      </c>
      <c r="G266" s="6">
        <v>262.04500000000002</v>
      </c>
      <c r="H266">
        <v>0.09</v>
      </c>
    </row>
    <row r="267" spans="1:8" x14ac:dyDescent="0.2">
      <c r="A267" s="1">
        <v>44225</v>
      </c>
      <c r="B267" s="1">
        <v>44197</v>
      </c>
      <c r="C267">
        <v>-6.3112699999999999E-4</v>
      </c>
      <c r="D267">
        <v>3524.11</v>
      </c>
      <c r="E267">
        <v>1.08</v>
      </c>
      <c r="F267">
        <v>0.08</v>
      </c>
      <c r="G267" s="6">
        <v>262.63900000000001</v>
      </c>
      <c r="H267">
        <v>7.0000000000000007E-2</v>
      </c>
    </row>
    <row r="268" spans="1:8" x14ac:dyDescent="0.2">
      <c r="A268" s="1">
        <v>44253</v>
      </c>
      <c r="B268" s="1">
        <v>44228</v>
      </c>
      <c r="C268">
        <v>2.919625E-2</v>
      </c>
      <c r="D268">
        <v>3455.19</v>
      </c>
      <c r="E268">
        <v>1.26</v>
      </c>
      <c r="F268">
        <v>0.04</v>
      </c>
      <c r="G268" s="6">
        <v>263.57299999999998</v>
      </c>
      <c r="H268">
        <v>7.0000000000000007E-2</v>
      </c>
    </row>
    <row r="269" spans="1:8" x14ac:dyDescent="0.2">
      <c r="A269" s="1">
        <v>44286</v>
      </c>
      <c r="B269" s="1">
        <v>44256</v>
      </c>
      <c r="C269">
        <v>3.0573300000000001E-2</v>
      </c>
      <c r="D269">
        <v>3407.27</v>
      </c>
      <c r="E269">
        <v>1.61</v>
      </c>
      <c r="F269">
        <v>0.03</v>
      </c>
      <c r="G269" s="6">
        <v>264.84699999999998</v>
      </c>
      <c r="H269">
        <v>0.06</v>
      </c>
    </row>
    <row r="270" spans="1:8" x14ac:dyDescent="0.2">
      <c r="A270" s="1">
        <v>44316</v>
      </c>
      <c r="B270" s="1">
        <v>44287</v>
      </c>
      <c r="C270">
        <v>4.8190190000000001E-2</v>
      </c>
      <c r="D270">
        <v>3447.81</v>
      </c>
      <c r="E270">
        <v>1.64</v>
      </c>
      <c r="F270">
        <v>0.02</v>
      </c>
      <c r="G270" s="6">
        <v>266.625</v>
      </c>
      <c r="H270">
        <v>0.05</v>
      </c>
    </row>
    <row r="271" spans="1:8" x14ac:dyDescent="0.2">
      <c r="A271" s="1">
        <v>44344</v>
      </c>
      <c r="B271" s="1">
        <v>44317</v>
      </c>
      <c r="C271">
        <v>7.0918620000000009E-3</v>
      </c>
      <c r="D271">
        <v>3472.02</v>
      </c>
      <c r="E271">
        <v>1.62</v>
      </c>
      <c r="F271">
        <v>0.02</v>
      </c>
      <c r="G271" s="6">
        <v>268.404</v>
      </c>
      <c r="H271">
        <v>0.05</v>
      </c>
    </row>
    <row r="272" spans="1:8" x14ac:dyDescent="0.2">
      <c r="A272" s="1">
        <v>44377</v>
      </c>
      <c r="B272" s="1">
        <v>44348</v>
      </c>
      <c r="C272">
        <v>2.34218E-2</v>
      </c>
      <c r="D272">
        <v>3529.82</v>
      </c>
      <c r="E272">
        <v>1.52</v>
      </c>
      <c r="F272">
        <v>0.04</v>
      </c>
      <c r="G272" s="6">
        <v>270.70999999999998</v>
      </c>
      <c r="H272">
        <v>0.08</v>
      </c>
    </row>
    <row r="273" spans="1:8" x14ac:dyDescent="0.2">
      <c r="A273" s="1">
        <v>44407</v>
      </c>
      <c r="B273" s="1">
        <v>44378</v>
      </c>
      <c r="C273">
        <v>1.1827799999999999E-2</v>
      </c>
      <c r="D273">
        <v>3572.51</v>
      </c>
      <c r="E273">
        <v>1.32</v>
      </c>
      <c r="F273">
        <v>0.05</v>
      </c>
      <c r="G273" s="6">
        <v>271.96499999999997</v>
      </c>
      <c r="H273">
        <v>7.0000000000000007E-2</v>
      </c>
    </row>
    <row r="274" spans="1:8" x14ac:dyDescent="0.2">
      <c r="A274" s="1">
        <v>44439</v>
      </c>
      <c r="B274" s="1">
        <v>44409</v>
      </c>
      <c r="C274">
        <v>2.714637E-2</v>
      </c>
      <c r="D274">
        <v>3565.44</v>
      </c>
      <c r="E274">
        <v>1.28</v>
      </c>
      <c r="F274">
        <v>0.05</v>
      </c>
      <c r="G274" s="6">
        <v>272.75200000000001</v>
      </c>
      <c r="H274">
        <v>0.06</v>
      </c>
    </row>
    <row r="275" spans="1:8" x14ac:dyDescent="0.2">
      <c r="A275" s="1">
        <v>44469</v>
      </c>
      <c r="B275" s="1">
        <v>44440</v>
      </c>
      <c r="C275">
        <v>-4.22434E-2</v>
      </c>
      <c r="D275">
        <v>3527.75</v>
      </c>
      <c r="E275">
        <v>1.37</v>
      </c>
      <c r="F275">
        <v>0.04</v>
      </c>
      <c r="G275" s="6">
        <v>273.94200000000001</v>
      </c>
      <c r="H275">
        <v>0.06</v>
      </c>
    </row>
    <row r="276" spans="1:8" x14ac:dyDescent="0.2">
      <c r="A276" s="1">
        <v>44498</v>
      </c>
      <c r="B276" s="1">
        <v>44470</v>
      </c>
      <c r="C276">
        <v>6.4650510000000008E-2</v>
      </c>
      <c r="D276">
        <v>3536.56</v>
      </c>
      <c r="E276">
        <v>1.58</v>
      </c>
      <c r="F276">
        <v>0.05</v>
      </c>
      <c r="G276" s="6">
        <v>276.52800000000002</v>
      </c>
      <c r="H276">
        <v>7.0000000000000007E-2</v>
      </c>
    </row>
    <row r="277" spans="1:8" x14ac:dyDescent="0.2">
      <c r="A277" s="1">
        <v>44530</v>
      </c>
      <c r="B277" s="1">
        <v>44501</v>
      </c>
      <c r="C277">
        <v>-1.8350490000000001E-2</v>
      </c>
      <c r="D277">
        <v>3539.8</v>
      </c>
      <c r="E277">
        <v>1.56</v>
      </c>
      <c r="F277">
        <v>0.05</v>
      </c>
      <c r="G277" s="6">
        <v>278.82400000000001</v>
      </c>
      <c r="H277">
        <v>7.0000000000000007E-2</v>
      </c>
    </row>
    <row r="278" spans="1:8" x14ac:dyDescent="0.2">
      <c r="A278" s="1">
        <v>44561</v>
      </c>
      <c r="B278" s="1">
        <v>44531</v>
      </c>
      <c r="C278">
        <v>3.3341229999999999E-2</v>
      </c>
      <c r="D278">
        <v>3533.73</v>
      </c>
      <c r="E278">
        <v>1.47</v>
      </c>
      <c r="F278">
        <v>0.06</v>
      </c>
      <c r="G278" s="6">
        <v>280.80599999999998</v>
      </c>
      <c r="H278">
        <v>7.0000000000000007E-2</v>
      </c>
    </row>
    <row r="279" spans="1:8" x14ac:dyDescent="0.2">
      <c r="A279" s="1">
        <v>44592</v>
      </c>
      <c r="B279" s="1">
        <v>44562</v>
      </c>
      <c r="C279">
        <v>-5.9822460000000001E-2</v>
      </c>
      <c r="D279">
        <v>3423.31</v>
      </c>
      <c r="E279">
        <v>1.76</v>
      </c>
      <c r="F279">
        <v>0.15</v>
      </c>
      <c r="G279" s="6">
        <v>282.54199999999997</v>
      </c>
      <c r="H279">
        <v>0.08</v>
      </c>
    </row>
    <row r="280" spans="1:8" x14ac:dyDescent="0.2">
      <c r="A280" s="1">
        <v>44620</v>
      </c>
      <c r="B280" s="1">
        <v>44593</v>
      </c>
      <c r="C280">
        <v>-2.183775E-2</v>
      </c>
      <c r="D280">
        <v>3348.65</v>
      </c>
      <c r="E280">
        <v>1.93</v>
      </c>
      <c r="F280">
        <v>0.33</v>
      </c>
      <c r="G280" s="6">
        <v>284.52499999999998</v>
      </c>
      <c r="H280">
        <v>0.08</v>
      </c>
    </row>
    <row r="281" spans="1:8" x14ac:dyDescent="0.2">
      <c r="A281" s="1">
        <v>44651</v>
      </c>
      <c r="B281" s="1">
        <v>44621</v>
      </c>
      <c r="C281">
        <v>3.050572E-2</v>
      </c>
      <c r="D281">
        <v>3260.28</v>
      </c>
      <c r="E281">
        <v>2.13</v>
      </c>
      <c r="F281">
        <v>0.44</v>
      </c>
      <c r="G281" s="6">
        <v>287.46699999999998</v>
      </c>
      <c r="H281">
        <v>0.33</v>
      </c>
    </row>
    <row r="282" spans="1:8" x14ac:dyDescent="0.2">
      <c r="A282" s="1">
        <v>44680</v>
      </c>
      <c r="B282" s="1">
        <v>44652</v>
      </c>
      <c r="C282">
        <v>-8.9386839999999995E-2</v>
      </c>
      <c r="D282">
        <v>3098.19</v>
      </c>
      <c r="E282">
        <v>2.75</v>
      </c>
      <c r="F282">
        <v>0.76</v>
      </c>
      <c r="G282" s="6">
        <v>288.58199999999999</v>
      </c>
      <c r="H282">
        <v>0.33</v>
      </c>
    </row>
    <row r="283" spans="1:8" x14ac:dyDescent="0.2">
      <c r="A283" s="1">
        <v>44712</v>
      </c>
      <c r="B283" s="1">
        <v>44682</v>
      </c>
      <c r="C283">
        <v>-2.1129410000000001E-3</v>
      </c>
      <c r="D283">
        <v>3114.77</v>
      </c>
      <c r="E283">
        <v>2.9</v>
      </c>
      <c r="F283">
        <v>0.98</v>
      </c>
      <c r="G283" s="6">
        <v>291.29899999999998</v>
      </c>
      <c r="H283">
        <v>0.83</v>
      </c>
    </row>
    <row r="284" spans="1:8" x14ac:dyDescent="0.2">
      <c r="A284" s="1">
        <v>44742</v>
      </c>
      <c r="B284" s="1">
        <v>44713</v>
      </c>
      <c r="C284">
        <v>-8.3997500000000003E-2</v>
      </c>
      <c r="D284">
        <v>3041.57</v>
      </c>
      <c r="E284">
        <v>3.14</v>
      </c>
      <c r="F284">
        <v>1.49</v>
      </c>
      <c r="G284" s="6">
        <v>295.072</v>
      </c>
      <c r="H284">
        <v>1.58</v>
      </c>
    </row>
    <row r="285" spans="1:8" x14ac:dyDescent="0.2">
      <c r="A285" s="1">
        <v>44771</v>
      </c>
      <c r="B285" s="1">
        <v>44743</v>
      </c>
      <c r="C285">
        <v>9.0350750000000007E-2</v>
      </c>
      <c r="D285">
        <v>3131.26</v>
      </c>
      <c r="E285">
        <v>2.9</v>
      </c>
      <c r="F285">
        <v>2.23</v>
      </c>
      <c r="G285" s="6">
        <v>294.94</v>
      </c>
      <c r="H285">
        <v>2.3199999999999998</v>
      </c>
    </row>
    <row r="286" spans="1:8" x14ac:dyDescent="0.2">
      <c r="A286" s="1">
        <v>44804</v>
      </c>
      <c r="B286" s="1">
        <v>44774</v>
      </c>
      <c r="C286">
        <v>-3.6233059999999997E-2</v>
      </c>
      <c r="D286">
        <v>3047.93</v>
      </c>
      <c r="E286">
        <v>2.9</v>
      </c>
      <c r="F286">
        <v>2.63</v>
      </c>
      <c r="G286" s="6">
        <v>295.16199999999998</v>
      </c>
      <c r="H286">
        <v>2.33</v>
      </c>
    </row>
    <row r="287" spans="1:8" x14ac:dyDescent="0.2">
      <c r="A287" s="1">
        <v>44834</v>
      </c>
      <c r="B287" s="1">
        <v>44805</v>
      </c>
      <c r="C287">
        <v>-9.1323000000000001E-2</v>
      </c>
      <c r="D287">
        <v>2886.14</v>
      </c>
      <c r="E287">
        <v>3.52</v>
      </c>
      <c r="F287">
        <v>3.13</v>
      </c>
      <c r="G287" s="6">
        <v>296.42099999999999</v>
      </c>
      <c r="H287">
        <v>3.08</v>
      </c>
    </row>
    <row r="288" spans="1:8" x14ac:dyDescent="0.2">
      <c r="A288" s="1">
        <v>44865</v>
      </c>
      <c r="B288" s="1">
        <v>44835</v>
      </c>
      <c r="C288">
        <v>7.7393619999999996E-2</v>
      </c>
      <c r="D288">
        <v>2853.97</v>
      </c>
      <c r="E288">
        <v>3.98</v>
      </c>
      <c r="F288">
        <v>3.72</v>
      </c>
      <c r="G288" s="6">
        <v>297.97899999999998</v>
      </c>
      <c r="H288">
        <v>3.08</v>
      </c>
    </row>
    <row r="289" spans="1:8" x14ac:dyDescent="0.2">
      <c r="A289" s="1">
        <v>44895</v>
      </c>
      <c r="B289" s="1">
        <v>44866</v>
      </c>
      <c r="C289">
        <v>5.2353910000000003E-2</v>
      </c>
      <c r="D289">
        <v>2994.31</v>
      </c>
      <c r="E289">
        <v>3.89</v>
      </c>
      <c r="F289">
        <v>4.1500000000000004</v>
      </c>
      <c r="G289" s="6">
        <v>298.70800000000003</v>
      </c>
      <c r="H289">
        <v>3.83</v>
      </c>
    </row>
    <row r="290" spans="1:8" x14ac:dyDescent="0.2">
      <c r="A290" s="1">
        <v>44925</v>
      </c>
      <c r="B290" s="1">
        <v>44896</v>
      </c>
      <c r="C290">
        <v>-5.7119460000000004E-2</v>
      </c>
      <c r="D290">
        <v>2987.97</v>
      </c>
      <c r="E290">
        <v>3.62</v>
      </c>
      <c r="F290">
        <v>4.25</v>
      </c>
      <c r="G290" s="6">
        <v>298.80799999999999</v>
      </c>
      <c r="H290">
        <v>4.33</v>
      </c>
    </row>
    <row r="291" spans="1:8" x14ac:dyDescent="0.2">
      <c r="A291" s="1">
        <v>44957</v>
      </c>
      <c r="B291" s="1">
        <v>44927</v>
      </c>
      <c r="C291">
        <v>7.1823220000000007E-2</v>
      </c>
      <c r="D291">
        <v>3104.17</v>
      </c>
      <c r="E291">
        <v>3.53</v>
      </c>
      <c r="F291">
        <v>4.54</v>
      </c>
      <c r="G291" s="6">
        <v>300.45600000000002</v>
      </c>
      <c r="H291">
        <v>4.33</v>
      </c>
    </row>
    <row r="292" spans="1:8" x14ac:dyDescent="0.2">
      <c r="A292" s="1">
        <v>44985</v>
      </c>
      <c r="B292" s="1">
        <v>44958</v>
      </c>
      <c r="C292">
        <v>-2.466602E-2</v>
      </c>
      <c r="D292">
        <v>3013.75</v>
      </c>
      <c r="E292">
        <v>3.75</v>
      </c>
      <c r="F292">
        <v>4.6500000000000004</v>
      </c>
      <c r="G292" s="6">
        <v>301.476</v>
      </c>
      <c r="H292">
        <v>4.57</v>
      </c>
    </row>
    <row r="293" spans="1:8" x14ac:dyDescent="0.2">
      <c r="A293" s="1">
        <v>45016</v>
      </c>
      <c r="B293" s="1">
        <v>44986</v>
      </c>
      <c r="C293">
        <v>2.39498E-2</v>
      </c>
      <c r="D293">
        <v>3090.99</v>
      </c>
      <c r="E293">
        <v>3.66</v>
      </c>
      <c r="F293">
        <v>4.6900000000000004</v>
      </c>
      <c r="G293" s="6">
        <v>301.64299999999997</v>
      </c>
      <c r="H293">
        <v>4.83</v>
      </c>
    </row>
    <row r="294" spans="1:8" x14ac:dyDescent="0.2">
      <c r="A294" s="1">
        <v>45044</v>
      </c>
      <c r="B294" s="1">
        <v>45017</v>
      </c>
      <c r="C294">
        <v>8.9755220000000014E-3</v>
      </c>
      <c r="D294">
        <v>3117.2</v>
      </c>
      <c r="E294">
        <v>3.46</v>
      </c>
      <c r="F294">
        <v>4.92</v>
      </c>
      <c r="G294" s="6">
        <v>302.858</v>
      </c>
      <c r="H294">
        <v>4.83</v>
      </c>
    </row>
    <row r="295" spans="1:8" x14ac:dyDescent="0.2">
      <c r="A295" s="1">
        <v>45077</v>
      </c>
      <c r="B295" s="1">
        <v>45047</v>
      </c>
      <c r="C295">
        <v>7.0825210000000007E-4</v>
      </c>
      <c r="D295">
        <v>3075.79</v>
      </c>
      <c r="E295">
        <v>3.57</v>
      </c>
      <c r="F295">
        <v>5.14</v>
      </c>
      <c r="G295" s="6">
        <v>303.31599999999997</v>
      </c>
      <c r="H295">
        <v>5.08</v>
      </c>
    </row>
    <row r="296" spans="1:8" x14ac:dyDescent="0.2">
      <c r="A296" s="1">
        <v>45107</v>
      </c>
      <c r="B296" s="1">
        <v>45078</v>
      </c>
      <c r="C296">
        <v>6.6182729999999995E-2</v>
      </c>
      <c r="D296">
        <v>3084.54</v>
      </c>
      <c r="E296">
        <v>3.75</v>
      </c>
      <c r="F296">
        <v>5.16</v>
      </c>
      <c r="G296" s="6">
        <v>304.09899999999999</v>
      </c>
      <c r="H296">
        <v>5.08</v>
      </c>
    </row>
    <row r="297" spans="1:8" x14ac:dyDescent="0.2">
      <c r="A297" s="1">
        <v>45138</v>
      </c>
      <c r="B297" s="1">
        <v>45108</v>
      </c>
      <c r="C297">
        <v>3.5617500000000003E-2</v>
      </c>
      <c r="D297">
        <v>3097.91</v>
      </c>
      <c r="E297">
        <v>3.9</v>
      </c>
      <c r="F297">
        <v>5.25</v>
      </c>
      <c r="G297" s="6">
        <v>304.61500000000001</v>
      </c>
      <c r="H297">
        <v>5.33</v>
      </c>
    </row>
    <row r="298" spans="1:8" x14ac:dyDescent="0.2">
      <c r="A298" s="1">
        <v>45169</v>
      </c>
      <c r="B298" s="1">
        <v>45139</v>
      </c>
      <c r="C298">
        <v>-2.0608419999999999E-2</v>
      </c>
      <c r="D298">
        <v>3076.76</v>
      </c>
      <c r="E298">
        <v>4.17</v>
      </c>
      <c r="F298">
        <v>5.3</v>
      </c>
      <c r="G298" s="6">
        <v>306.13799999999998</v>
      </c>
      <c r="H298">
        <v>5.33</v>
      </c>
    </row>
    <row r="299" spans="1:8" x14ac:dyDescent="0.2">
      <c r="A299" s="1">
        <v>45198</v>
      </c>
      <c r="B299" s="1">
        <v>45170</v>
      </c>
      <c r="C299">
        <v>-4.7390479999999999E-2</v>
      </c>
      <c r="D299">
        <v>3001.39</v>
      </c>
      <c r="E299">
        <v>4.38</v>
      </c>
      <c r="F299">
        <v>5.32</v>
      </c>
      <c r="G299" s="6">
        <v>307.37400000000002</v>
      </c>
      <c r="H299">
        <v>5.33</v>
      </c>
    </row>
    <row r="300" spans="1:8" x14ac:dyDescent="0.2">
      <c r="A300" s="1">
        <v>45230</v>
      </c>
      <c r="B300" s="1">
        <v>45200</v>
      </c>
      <c r="C300">
        <v>-2.8864859999999999E-2</v>
      </c>
      <c r="D300">
        <v>2946.76</v>
      </c>
      <c r="E300">
        <v>4.8</v>
      </c>
      <c r="F300">
        <v>5.34</v>
      </c>
      <c r="G300" s="6">
        <v>307.65300000000002</v>
      </c>
      <c r="H300">
        <v>5.33</v>
      </c>
    </row>
    <row r="301" spans="1:8" x14ac:dyDescent="0.2">
      <c r="A301" s="1">
        <v>45260</v>
      </c>
      <c r="B301" s="1">
        <v>45231</v>
      </c>
      <c r="C301">
        <v>9.205286E-2</v>
      </c>
      <c r="D301">
        <v>3112.98</v>
      </c>
      <c r="E301">
        <v>4.5</v>
      </c>
      <c r="F301">
        <v>5.27</v>
      </c>
      <c r="G301" s="6">
        <v>308.08699999999999</v>
      </c>
      <c r="H301">
        <v>5.33</v>
      </c>
    </row>
    <row r="302" spans="1:8" x14ac:dyDescent="0.2">
      <c r="A302" s="1">
        <v>45289</v>
      </c>
      <c r="B302" s="1">
        <v>45261</v>
      </c>
      <c r="C302">
        <v>5.360351E-2</v>
      </c>
      <c r="D302">
        <v>3238.89</v>
      </c>
      <c r="E302">
        <v>4.0199999999999996</v>
      </c>
      <c r="F302">
        <v>5.24</v>
      </c>
      <c r="G302" s="6">
        <v>308.73500000000001</v>
      </c>
      <c r="H302">
        <v>5.33</v>
      </c>
    </row>
    <row r="303" spans="1:8" x14ac:dyDescent="0.2">
      <c r="A303" s="1">
        <v>45322</v>
      </c>
      <c r="B303" s="1">
        <v>45292</v>
      </c>
      <c r="C303">
        <v>7.5605580000000002E-3</v>
      </c>
      <c r="D303">
        <v>3243.69</v>
      </c>
      <c r="E303">
        <v>4.0599999999999996</v>
      </c>
      <c r="F303">
        <v>5.22</v>
      </c>
      <c r="G303" s="6">
        <v>309.79399999999998</v>
      </c>
      <c r="H303">
        <v>5.33</v>
      </c>
    </row>
    <row r="304" spans="1:8" x14ac:dyDescent="0.2">
      <c r="A304" s="1">
        <v>45351</v>
      </c>
      <c r="B304" s="1">
        <v>45323</v>
      </c>
      <c r="C304">
        <v>5.0583460000000004E-2</v>
      </c>
      <c r="D304">
        <v>3198.37</v>
      </c>
      <c r="E304">
        <v>4.21</v>
      </c>
      <c r="F304">
        <v>5.24</v>
      </c>
      <c r="G304" s="6">
        <v>311.02199999999999</v>
      </c>
      <c r="H304">
        <v>5.33</v>
      </c>
    </row>
    <row r="305" spans="1:8" x14ac:dyDescent="0.2">
      <c r="A305" s="1">
        <v>45379</v>
      </c>
      <c r="B305" s="1">
        <v>45352</v>
      </c>
      <c r="C305">
        <v>3.2449940000000004E-2</v>
      </c>
      <c r="D305">
        <v>3236.29</v>
      </c>
      <c r="E305">
        <v>4.21</v>
      </c>
      <c r="F305">
        <v>5.24</v>
      </c>
      <c r="G305" s="6">
        <v>312.10700000000003</v>
      </c>
      <c r="H305">
        <v>5.33</v>
      </c>
    </row>
    <row r="306" spans="1:8" x14ac:dyDescent="0.2">
      <c r="A306" s="1">
        <v>45412</v>
      </c>
      <c r="B306" s="1">
        <v>45383</v>
      </c>
      <c r="C306">
        <v>-4.2723950000000004E-2</v>
      </c>
      <c r="D306">
        <v>3160.95</v>
      </c>
      <c r="E306">
        <v>4.54</v>
      </c>
      <c r="F306">
        <v>5.24</v>
      </c>
      <c r="G306" s="6">
        <v>313.01600000000002</v>
      </c>
      <c r="H306">
        <v>5.33</v>
      </c>
    </row>
    <row r="307" spans="1:8" x14ac:dyDescent="0.2">
      <c r="A307" s="1">
        <v>45443</v>
      </c>
      <c r="B307" s="1">
        <v>45413</v>
      </c>
      <c r="C307">
        <v>4.6552570000000001E-2</v>
      </c>
      <c r="D307">
        <v>3219.53</v>
      </c>
      <c r="E307">
        <v>4.4800000000000004</v>
      </c>
      <c r="F307">
        <v>5.25</v>
      </c>
      <c r="G307" s="6">
        <v>313.14</v>
      </c>
      <c r="H307">
        <v>5.33</v>
      </c>
    </row>
    <row r="308" spans="1:8" x14ac:dyDescent="0.2">
      <c r="A308" s="1">
        <v>45471</v>
      </c>
      <c r="B308" s="1">
        <v>45444</v>
      </c>
      <c r="C308">
        <v>2.6072830000000002E-2</v>
      </c>
      <c r="D308">
        <v>3240.08</v>
      </c>
      <c r="E308">
        <v>4.3099999999999996</v>
      </c>
      <c r="F308">
        <v>5.24</v>
      </c>
      <c r="G308" s="6">
        <v>313.13099999999997</v>
      </c>
      <c r="H308">
        <v>5.33</v>
      </c>
    </row>
    <row r="309" spans="1:8" x14ac:dyDescent="0.2">
      <c r="A309" s="1">
        <v>45504</v>
      </c>
      <c r="B309" s="1">
        <v>45474</v>
      </c>
      <c r="C309">
        <v>1.9878110000000001E-2</v>
      </c>
      <c r="D309">
        <v>3316.66</v>
      </c>
      <c r="E309">
        <v>4.25</v>
      </c>
      <c r="F309">
        <v>5.2</v>
      </c>
      <c r="G309" s="6">
        <v>313.56599999999997</v>
      </c>
      <c r="H309">
        <v>5.33</v>
      </c>
    </row>
    <row r="310" spans="1:8" x14ac:dyDescent="0.2">
      <c r="A310" s="1">
        <v>45534</v>
      </c>
      <c r="B310" s="1">
        <v>45505</v>
      </c>
      <c r="C310">
        <v>2.1572150000000002E-2</v>
      </c>
      <c r="D310">
        <v>3367.48</v>
      </c>
      <c r="E310">
        <v>3.87</v>
      </c>
      <c r="F310">
        <v>5.05</v>
      </c>
      <c r="G310" s="6">
        <v>314.13099999999997</v>
      </c>
      <c r="H310">
        <v>5.33</v>
      </c>
    </row>
    <row r="311" spans="1:8" x14ac:dyDescent="0.2">
      <c r="A311" s="1">
        <v>45565</v>
      </c>
      <c r="B311" s="1">
        <v>45536</v>
      </c>
      <c r="C311">
        <v>2.0969419999999999E-2</v>
      </c>
      <c r="D311">
        <v>3425.5</v>
      </c>
      <c r="E311">
        <v>3.72</v>
      </c>
      <c r="F311">
        <v>4.72</v>
      </c>
      <c r="G311" s="6">
        <v>314.851</v>
      </c>
      <c r="H311">
        <v>4.83</v>
      </c>
    </row>
    <row r="312" spans="1:8" x14ac:dyDescent="0.2">
      <c r="A312" s="1">
        <v>45596</v>
      </c>
      <c r="B312" s="1">
        <v>45566</v>
      </c>
      <c r="C312">
        <v>-8.2982180000000013E-3</v>
      </c>
      <c r="D312">
        <v>3348.44</v>
      </c>
      <c r="E312">
        <v>4.0999999999999996</v>
      </c>
      <c r="F312">
        <v>4.51</v>
      </c>
      <c r="G312" s="6">
        <v>315.56400000000002</v>
      </c>
      <c r="H312">
        <v>4.83</v>
      </c>
    </row>
    <row r="313" spans="1:8" x14ac:dyDescent="0.2">
      <c r="A313" s="1">
        <v>45625</v>
      </c>
      <c r="B313" s="1">
        <v>45597</v>
      </c>
      <c r="C313">
        <v>6.4854679999999998E-2</v>
      </c>
      <c r="D313">
        <v>3388.48</v>
      </c>
      <c r="E313">
        <v>4.3600000000000003</v>
      </c>
      <c r="F313">
        <v>4.42</v>
      </c>
      <c r="G313" s="6">
        <v>316.44900000000001</v>
      </c>
      <c r="H313">
        <v>4.58</v>
      </c>
    </row>
    <row r="314" spans="1:8" x14ac:dyDescent="0.2">
      <c r="A314" s="1">
        <v>45657</v>
      </c>
      <c r="B314" s="1">
        <v>45627</v>
      </c>
      <c r="C314">
        <v>-3.1582409999999998E-2</v>
      </c>
      <c r="D314">
        <v>3328.3</v>
      </c>
      <c r="E314">
        <v>4.3899999999999997</v>
      </c>
      <c r="F314">
        <v>4.2699999999999996</v>
      </c>
      <c r="G314" s="6">
        <v>317.60300000000001</v>
      </c>
      <c r="H314">
        <v>4.33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646-9806-7A48-98F5-120A701636FD}">
  <dimension ref="A1:K313"/>
  <sheetViews>
    <sheetView workbookViewId="0"/>
  </sheetViews>
  <sheetFormatPr baseColWidth="10" defaultColWidth="8.83203125" defaultRowHeight="15" x14ac:dyDescent="0.2"/>
  <cols>
    <col min="1" max="1" width="20" customWidth="1"/>
    <col min="2" max="5" width="38" customWidth="1"/>
    <col min="6" max="6" width="28" customWidth="1"/>
    <col min="7" max="7" width="27" customWidth="1"/>
    <col min="8" max="9" width="19" customWidth="1"/>
    <col min="10" max="10" width="32" customWidth="1"/>
    <col min="11" max="11" width="25" customWidth="1"/>
  </cols>
  <sheetData>
    <row r="1" spans="1:11" x14ac:dyDescent="0.2">
      <c r="A1" t="s">
        <v>3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0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5">
        <v>36189</v>
      </c>
      <c r="B2">
        <v>3.8446760000000003E-2</v>
      </c>
      <c r="C2">
        <v>3.7646400000000003E-2</v>
      </c>
      <c r="D2">
        <v>6.4861470000000004E-2</v>
      </c>
      <c r="E2">
        <v>6.4052479999999995E-2</v>
      </c>
      <c r="F2">
        <v>4.1009410000000003E-2</v>
      </c>
      <c r="G2">
        <v>1279.6400000000001</v>
      </c>
      <c r="H2">
        <v>13752730000</v>
      </c>
      <c r="I2">
        <v>8656</v>
      </c>
      <c r="J2">
        <v>13187052500</v>
      </c>
      <c r="K2">
        <v>8616</v>
      </c>
    </row>
    <row r="3" spans="1:11" x14ac:dyDescent="0.2">
      <c r="A3" s="5">
        <v>36217</v>
      </c>
      <c r="B3">
        <v>-3.8082610000000003E-2</v>
      </c>
      <c r="C3">
        <v>-3.9267910000000003E-2</v>
      </c>
      <c r="D3">
        <v>-4.217183E-2</v>
      </c>
      <c r="E3">
        <v>-4.3266190000000003E-2</v>
      </c>
      <c r="F3">
        <v>-3.2282520000000002E-2</v>
      </c>
      <c r="G3">
        <v>1238.33</v>
      </c>
      <c r="H3">
        <v>13246065100</v>
      </c>
      <c r="I3">
        <v>8619</v>
      </c>
      <c r="J3">
        <v>13741520100</v>
      </c>
      <c r="K3">
        <v>8573</v>
      </c>
    </row>
    <row r="4" spans="1:11" x14ac:dyDescent="0.2">
      <c r="A4" s="5">
        <v>36250</v>
      </c>
      <c r="B4">
        <v>3.7925470000000003E-2</v>
      </c>
      <c r="C4">
        <v>3.665239E-2</v>
      </c>
      <c r="D4">
        <v>-1.369891E-3</v>
      </c>
      <c r="E4">
        <v>-2.9566100000000001E-3</v>
      </c>
      <c r="F4">
        <v>3.8794179999999998E-2</v>
      </c>
      <c r="G4">
        <v>1286.3699999999999</v>
      </c>
      <c r="H4">
        <v>13756388100</v>
      </c>
      <c r="I4">
        <v>8541</v>
      </c>
      <c r="J4">
        <v>13147538200</v>
      </c>
      <c r="K4">
        <v>8495</v>
      </c>
    </row>
    <row r="5" spans="1:11" x14ac:dyDescent="0.2">
      <c r="A5" s="5">
        <v>36280</v>
      </c>
      <c r="B5">
        <v>4.909202E-2</v>
      </c>
      <c r="C5">
        <v>4.8270800000000003E-2</v>
      </c>
      <c r="D5">
        <v>8.3901699999999996E-2</v>
      </c>
      <c r="E5">
        <v>8.2850300000000002E-2</v>
      </c>
      <c r="F5">
        <v>3.7943980000000002E-2</v>
      </c>
      <c r="G5">
        <v>1335.18</v>
      </c>
      <c r="H5">
        <v>14477596400</v>
      </c>
      <c r="I5">
        <v>8503</v>
      </c>
      <c r="J5">
        <v>13725557600</v>
      </c>
      <c r="K5">
        <v>8442</v>
      </c>
    </row>
    <row r="6" spans="1:11" x14ac:dyDescent="0.2">
      <c r="A6" s="5">
        <v>36308</v>
      </c>
      <c r="B6">
        <v>-2.0707760000000002E-2</v>
      </c>
      <c r="C6">
        <v>-2.2383920000000002E-2</v>
      </c>
      <c r="D6">
        <v>2.513729E-2</v>
      </c>
      <c r="E6">
        <v>2.3668100000000001E-2</v>
      </c>
      <c r="F6">
        <v>-2.497042E-2</v>
      </c>
      <c r="G6">
        <v>1301.8399999999999</v>
      </c>
      <c r="H6">
        <v>14223575600</v>
      </c>
      <c r="I6">
        <v>8487</v>
      </c>
      <c r="J6">
        <v>14446425200</v>
      </c>
      <c r="K6">
        <v>8420</v>
      </c>
    </row>
    <row r="7" spans="1:11" x14ac:dyDescent="0.2">
      <c r="A7" s="5">
        <v>36341</v>
      </c>
      <c r="B7">
        <v>5.0823480000000004E-2</v>
      </c>
      <c r="C7">
        <v>4.97253E-2</v>
      </c>
      <c r="D7">
        <v>3.8401499999999998E-2</v>
      </c>
      <c r="E7">
        <v>3.6841249999999999E-2</v>
      </c>
      <c r="F7">
        <v>5.443833E-2</v>
      </c>
      <c r="G7">
        <v>1372.71</v>
      </c>
      <c r="H7">
        <v>14905813000</v>
      </c>
      <c r="I7">
        <v>8474</v>
      </c>
      <c r="J7">
        <v>14079803300</v>
      </c>
      <c r="K7">
        <v>8392</v>
      </c>
    </row>
    <row r="8" spans="1:11" x14ac:dyDescent="0.2">
      <c r="A8" s="5">
        <v>36371</v>
      </c>
      <c r="B8">
        <v>-3.083348E-2</v>
      </c>
      <c r="C8">
        <v>-3.1710250000000002E-2</v>
      </c>
      <c r="D8">
        <v>7.2747770000000005E-3</v>
      </c>
      <c r="E8">
        <v>6.2992210000000007E-3</v>
      </c>
      <c r="F8">
        <v>-3.2046100000000001E-2</v>
      </c>
      <c r="G8">
        <v>1328.72</v>
      </c>
      <c r="H8">
        <v>14475119200</v>
      </c>
      <c r="I8">
        <v>8462</v>
      </c>
      <c r="J8">
        <v>14857358300</v>
      </c>
      <c r="K8">
        <v>8378</v>
      </c>
    </row>
    <row r="9" spans="1:11" x14ac:dyDescent="0.2">
      <c r="A9" s="5">
        <v>36403</v>
      </c>
      <c r="B9">
        <v>-9.9184420000000013E-3</v>
      </c>
      <c r="C9">
        <v>-1.106482E-2</v>
      </c>
      <c r="D9">
        <v>-3.0612460000000001E-2</v>
      </c>
      <c r="E9">
        <v>-3.1796989999999997E-2</v>
      </c>
      <c r="F9">
        <v>-6.2541390000000006E-3</v>
      </c>
      <c r="G9">
        <v>1320.41</v>
      </c>
      <c r="H9">
        <v>14344211900</v>
      </c>
      <c r="I9">
        <v>8434</v>
      </c>
      <c r="J9">
        <v>14432467100</v>
      </c>
      <c r="K9">
        <v>8369</v>
      </c>
    </row>
    <row r="10" spans="1:11" x14ac:dyDescent="0.2">
      <c r="A10" s="5">
        <v>36433</v>
      </c>
      <c r="B10">
        <v>-2.266901E-2</v>
      </c>
      <c r="C10">
        <v>-2.3872060000000001E-2</v>
      </c>
      <c r="D10">
        <v>-1.4229790000000001E-2</v>
      </c>
      <c r="E10">
        <v>-1.563647E-2</v>
      </c>
      <c r="F10">
        <v>-2.8551739999999999E-2</v>
      </c>
      <c r="G10">
        <v>1282.71</v>
      </c>
      <c r="H10">
        <v>14060520700</v>
      </c>
      <c r="I10">
        <v>8408</v>
      </c>
      <c r="J10">
        <v>14312369300</v>
      </c>
      <c r="K10">
        <v>8343</v>
      </c>
    </row>
    <row r="11" spans="1:11" x14ac:dyDescent="0.2">
      <c r="A11" s="5">
        <v>36462</v>
      </c>
      <c r="B11">
        <v>6.2107269999999999E-2</v>
      </c>
      <c r="C11">
        <v>6.1318120000000004E-2</v>
      </c>
      <c r="D11">
        <v>-1.4011520000000001E-3</v>
      </c>
      <c r="E11">
        <v>-2.4572190000000001E-3</v>
      </c>
      <c r="F11">
        <v>6.253947E-2</v>
      </c>
      <c r="G11">
        <v>1362.93</v>
      </c>
      <c r="H11">
        <v>15001763900</v>
      </c>
      <c r="I11">
        <v>8414</v>
      </c>
      <c r="J11">
        <v>13927310500</v>
      </c>
      <c r="K11">
        <v>8323</v>
      </c>
    </row>
    <row r="12" spans="1:11" x14ac:dyDescent="0.2">
      <c r="A12" s="5">
        <v>36494</v>
      </c>
      <c r="B12">
        <v>3.6822239999999999E-2</v>
      </c>
      <c r="C12">
        <v>3.5616229999999999E-2</v>
      </c>
      <c r="D12">
        <v>9.1441069999999999E-2</v>
      </c>
      <c r="E12">
        <v>9.0004970000000004E-2</v>
      </c>
      <c r="F12">
        <v>1.9061870000000002E-2</v>
      </c>
      <c r="G12">
        <v>1388.91</v>
      </c>
      <c r="H12">
        <v>15657011900</v>
      </c>
      <c r="I12">
        <v>8392</v>
      </c>
      <c r="J12">
        <v>14947999500</v>
      </c>
      <c r="K12">
        <v>8308</v>
      </c>
    </row>
    <row r="13" spans="1:11" x14ac:dyDescent="0.2">
      <c r="A13" s="5">
        <v>36525</v>
      </c>
      <c r="B13">
        <v>8.3744510000000008E-2</v>
      </c>
      <c r="C13">
        <v>8.2630690000000007E-2</v>
      </c>
      <c r="D13">
        <v>8.4839120000000004E-2</v>
      </c>
      <c r="E13">
        <v>8.2824259999999997E-2</v>
      </c>
      <c r="F13">
        <v>5.784392E-2</v>
      </c>
      <c r="G13">
        <v>1469.25</v>
      </c>
      <c r="H13">
        <v>17021360300</v>
      </c>
      <c r="I13">
        <v>8361</v>
      </c>
      <c r="J13">
        <v>15531290700</v>
      </c>
      <c r="K13">
        <v>8300</v>
      </c>
    </row>
    <row r="14" spans="1:11" x14ac:dyDescent="0.2">
      <c r="A14" s="5">
        <v>36556</v>
      </c>
      <c r="B14">
        <v>-3.9621959999999998E-2</v>
      </c>
      <c r="C14">
        <v>-4.0262810000000003E-2</v>
      </c>
      <c r="D14">
        <v>5.064217E-2</v>
      </c>
      <c r="E14">
        <v>4.974017E-2</v>
      </c>
      <c r="F14">
        <v>-5.0903520000000001E-2</v>
      </c>
      <c r="G14">
        <v>1394.46</v>
      </c>
      <c r="H14">
        <v>16340205000</v>
      </c>
      <c r="I14">
        <v>8323</v>
      </c>
      <c r="J14">
        <v>16970723700</v>
      </c>
      <c r="K14">
        <v>8294</v>
      </c>
    </row>
    <row r="15" spans="1:11" x14ac:dyDescent="0.2">
      <c r="A15" s="5">
        <v>36585</v>
      </c>
      <c r="B15">
        <v>3.1760280000000002E-2</v>
      </c>
      <c r="C15">
        <v>3.0657380000000001E-2</v>
      </c>
      <c r="D15">
        <v>0.1204943</v>
      </c>
      <c r="E15">
        <v>0.11924079999999999</v>
      </c>
      <c r="F15">
        <v>-2.010814E-2</v>
      </c>
      <c r="G15">
        <v>1366.42</v>
      </c>
      <c r="H15">
        <v>17004680400</v>
      </c>
      <c r="I15">
        <v>8327</v>
      </c>
      <c r="J15">
        <v>16307035900</v>
      </c>
      <c r="K15">
        <v>8244</v>
      </c>
    </row>
    <row r="16" spans="1:11" x14ac:dyDescent="0.2">
      <c r="A16" s="5">
        <v>36616</v>
      </c>
      <c r="B16">
        <v>5.3499020000000001E-2</v>
      </c>
      <c r="C16">
        <v>5.2515390000000002E-2</v>
      </c>
      <c r="D16">
        <v>-4.220955E-4</v>
      </c>
      <c r="E16">
        <v>-2.0686680000000001E-3</v>
      </c>
      <c r="F16">
        <v>9.6719899999999998E-2</v>
      </c>
      <c r="G16">
        <v>1498.58</v>
      </c>
      <c r="H16">
        <v>18167521500</v>
      </c>
      <c r="I16">
        <v>8309</v>
      </c>
      <c r="J16">
        <v>16960070200</v>
      </c>
      <c r="K16">
        <v>8222</v>
      </c>
    </row>
    <row r="17" spans="1:11" x14ac:dyDescent="0.2">
      <c r="A17" s="5">
        <v>36644</v>
      </c>
      <c r="B17">
        <v>-5.9518590000000003E-2</v>
      </c>
      <c r="C17">
        <v>-6.0309559999999998E-2</v>
      </c>
      <c r="D17">
        <v>-8.8512800000000003E-2</v>
      </c>
      <c r="E17">
        <v>-8.969887E-2</v>
      </c>
      <c r="F17">
        <v>-3.0795820000000002E-2</v>
      </c>
      <c r="G17">
        <v>1452.43</v>
      </c>
      <c r="H17">
        <v>17157422400</v>
      </c>
      <c r="I17">
        <v>8326</v>
      </c>
      <c r="J17">
        <v>18080672400</v>
      </c>
      <c r="K17">
        <v>8243</v>
      </c>
    </row>
    <row r="18" spans="1:11" x14ac:dyDescent="0.2">
      <c r="A18" s="5">
        <v>36677</v>
      </c>
      <c r="B18">
        <v>-3.8862609999999999E-2</v>
      </c>
      <c r="C18">
        <v>-4.0019720000000002E-2</v>
      </c>
      <c r="D18">
        <v>-5.7337970000000002E-2</v>
      </c>
      <c r="E18">
        <v>-5.8916080000000003E-2</v>
      </c>
      <c r="F18">
        <v>-2.1915E-2</v>
      </c>
      <c r="G18">
        <v>1420.6</v>
      </c>
      <c r="H18">
        <v>16506658600</v>
      </c>
      <c r="I18">
        <v>8331</v>
      </c>
      <c r="J18">
        <v>17083436200</v>
      </c>
      <c r="K18">
        <v>8259</v>
      </c>
    </row>
    <row r="19" spans="1:11" x14ac:dyDescent="0.2">
      <c r="A19" s="5">
        <v>36707</v>
      </c>
      <c r="B19">
        <v>5.1576419999999998E-2</v>
      </c>
      <c r="C19">
        <v>5.0778820000000002E-2</v>
      </c>
      <c r="D19">
        <v>7.9304059999999996E-2</v>
      </c>
      <c r="E19">
        <v>7.7750150000000004E-2</v>
      </c>
      <c r="F19">
        <v>2.3933550000000001E-2</v>
      </c>
      <c r="G19">
        <v>1454.6</v>
      </c>
      <c r="H19">
        <v>17407069100</v>
      </c>
      <c r="I19">
        <v>8328</v>
      </c>
      <c r="J19">
        <v>16289215300</v>
      </c>
      <c r="K19">
        <v>8231</v>
      </c>
    </row>
    <row r="20" spans="1:11" x14ac:dyDescent="0.2">
      <c r="A20" s="5">
        <v>36738</v>
      </c>
      <c r="B20">
        <v>-1.7679250000000001E-2</v>
      </c>
      <c r="C20">
        <v>-1.8399240000000001E-2</v>
      </c>
      <c r="D20">
        <v>-1.9302699999999999E-2</v>
      </c>
      <c r="E20">
        <v>-2.0552259999999999E-2</v>
      </c>
      <c r="F20">
        <v>-1.634126E-2</v>
      </c>
      <c r="G20">
        <v>1430.83</v>
      </c>
      <c r="H20">
        <v>17110321900</v>
      </c>
      <c r="I20">
        <v>8342</v>
      </c>
      <c r="J20">
        <v>17245734500</v>
      </c>
      <c r="K20">
        <v>8255</v>
      </c>
    </row>
    <row r="21" spans="1:11" x14ac:dyDescent="0.2">
      <c r="A21" s="5">
        <v>36769</v>
      </c>
      <c r="B21">
        <v>7.498378E-2</v>
      </c>
      <c r="C21">
        <v>7.380283E-2</v>
      </c>
      <c r="D21">
        <v>5.9299629999999999E-2</v>
      </c>
      <c r="E21">
        <v>5.7970920000000002E-2</v>
      </c>
      <c r="F21">
        <v>6.0699030000000001E-2</v>
      </c>
      <c r="G21">
        <v>1517.68</v>
      </c>
      <c r="H21">
        <v>18440721600</v>
      </c>
      <c r="I21">
        <v>8362</v>
      </c>
      <c r="J21">
        <v>17064734800</v>
      </c>
      <c r="K21">
        <v>8262</v>
      </c>
    </row>
    <row r="22" spans="1:11" x14ac:dyDescent="0.2">
      <c r="A22" s="5">
        <v>36798</v>
      </c>
      <c r="B22">
        <v>-5.1154390000000001E-2</v>
      </c>
      <c r="C22">
        <v>-5.1894740000000002E-2</v>
      </c>
      <c r="D22">
        <v>-4.0045339999999999E-2</v>
      </c>
      <c r="E22">
        <v>-4.135527E-2</v>
      </c>
      <c r="F22">
        <v>-5.3482950000000001E-2</v>
      </c>
      <c r="G22">
        <v>1436.51</v>
      </c>
      <c r="H22">
        <v>17569497100</v>
      </c>
      <c r="I22">
        <v>8343</v>
      </c>
      <c r="J22">
        <v>18393399600</v>
      </c>
      <c r="K22">
        <v>8277</v>
      </c>
    </row>
    <row r="23" spans="1:11" x14ac:dyDescent="0.2">
      <c r="A23" s="5">
        <v>36830</v>
      </c>
      <c r="B23">
        <v>-2.4480120000000001E-2</v>
      </c>
      <c r="C23">
        <v>-2.515454E-2</v>
      </c>
      <c r="D23">
        <v>-6.6833340000000005E-2</v>
      </c>
      <c r="E23">
        <v>-6.7922190000000007E-2</v>
      </c>
      <c r="F23">
        <v>-4.9494960000000003E-3</v>
      </c>
      <c r="G23">
        <v>1429.4</v>
      </c>
      <c r="H23">
        <v>17122488000</v>
      </c>
      <c r="I23">
        <v>8286</v>
      </c>
      <c r="J23">
        <v>17495224500</v>
      </c>
      <c r="K23">
        <v>8230</v>
      </c>
    </row>
    <row r="24" spans="1:11" x14ac:dyDescent="0.2">
      <c r="A24" s="5">
        <v>36860</v>
      </c>
      <c r="B24">
        <v>-0.1023654</v>
      </c>
      <c r="C24">
        <v>-0.1035736</v>
      </c>
      <c r="D24">
        <v>-0.11856939999999999</v>
      </c>
      <c r="E24">
        <v>-0.11989419999999999</v>
      </c>
      <c r="F24">
        <v>-8.0068559999999997E-2</v>
      </c>
      <c r="G24">
        <v>1314.95</v>
      </c>
      <c r="H24">
        <v>15331761300</v>
      </c>
      <c r="I24">
        <v>8216</v>
      </c>
      <c r="J24">
        <v>17042380300</v>
      </c>
      <c r="K24">
        <v>8176</v>
      </c>
    </row>
    <row r="25" spans="1:11" x14ac:dyDescent="0.2">
      <c r="A25" s="5">
        <v>36889</v>
      </c>
      <c r="B25">
        <v>2.044955E-2</v>
      </c>
      <c r="C25">
        <v>1.945508E-2</v>
      </c>
      <c r="D25">
        <v>-7.0543090000000008E-3</v>
      </c>
      <c r="E25">
        <v>-8.9974440000000003E-3</v>
      </c>
      <c r="F25">
        <v>4.053386E-3</v>
      </c>
      <c r="G25">
        <v>1320.28</v>
      </c>
      <c r="H25">
        <v>15626925600</v>
      </c>
      <c r="I25">
        <v>8133</v>
      </c>
      <c r="J25">
        <v>15239913300</v>
      </c>
      <c r="K25">
        <v>8104</v>
      </c>
    </row>
    <row r="26" spans="1:11" x14ac:dyDescent="0.2">
      <c r="A26" s="5">
        <v>36922</v>
      </c>
      <c r="B26">
        <v>3.9573070000000002E-2</v>
      </c>
      <c r="C26">
        <v>3.8787290000000002E-2</v>
      </c>
      <c r="D26">
        <v>0.22503779999999998</v>
      </c>
      <c r="E26">
        <v>0.22408449999999999</v>
      </c>
      <c r="F26">
        <v>3.4636590000000002E-2</v>
      </c>
      <c r="G26">
        <v>1366.01</v>
      </c>
      <c r="H26">
        <v>16249974500</v>
      </c>
      <c r="I26">
        <v>8049</v>
      </c>
      <c r="J26">
        <v>15477554700</v>
      </c>
      <c r="K26">
        <v>8028</v>
      </c>
    </row>
    <row r="27" spans="1:11" x14ac:dyDescent="0.2">
      <c r="A27" s="5">
        <v>36950</v>
      </c>
      <c r="B27">
        <v>-9.9084409999999998E-2</v>
      </c>
      <c r="C27">
        <v>-0.10018289999999999</v>
      </c>
      <c r="D27">
        <v>-7.4486560000000007E-2</v>
      </c>
      <c r="E27">
        <v>-7.5595679999999998E-2</v>
      </c>
      <c r="F27">
        <v>-9.229068E-2</v>
      </c>
      <c r="G27">
        <v>1239.94</v>
      </c>
      <c r="H27">
        <v>14624646800</v>
      </c>
      <c r="I27">
        <v>8000</v>
      </c>
      <c r="J27">
        <v>16171658300</v>
      </c>
      <c r="K27">
        <v>7974</v>
      </c>
    </row>
    <row r="28" spans="1:11" x14ac:dyDescent="0.2">
      <c r="A28" s="5">
        <v>36980</v>
      </c>
      <c r="B28">
        <v>-7.0408079999999998E-2</v>
      </c>
      <c r="C28">
        <v>-7.1364140000000006E-2</v>
      </c>
      <c r="D28">
        <v>-7.2661890000000007E-2</v>
      </c>
      <c r="E28">
        <v>-7.4177640000000003E-2</v>
      </c>
      <c r="F28">
        <v>-6.4204720000000007E-2</v>
      </c>
      <c r="G28">
        <v>1160.33</v>
      </c>
      <c r="H28">
        <v>13603371700</v>
      </c>
      <c r="I28">
        <v>7947</v>
      </c>
      <c r="J28">
        <v>14598732000</v>
      </c>
      <c r="K28">
        <v>7911</v>
      </c>
    </row>
    <row r="29" spans="1:11" x14ac:dyDescent="0.2">
      <c r="A29" s="5">
        <v>37011</v>
      </c>
      <c r="B29">
        <v>8.3834279999999997E-2</v>
      </c>
      <c r="C29">
        <v>8.2829769999999997E-2</v>
      </c>
      <c r="D29">
        <v>7.6440450000000007E-2</v>
      </c>
      <c r="E29">
        <v>7.5266E-2</v>
      </c>
      <c r="F29">
        <v>7.6814350000000003E-2</v>
      </c>
      <c r="G29">
        <v>1249.46</v>
      </c>
      <c r="H29">
        <v>14744528100</v>
      </c>
      <c r="I29">
        <v>7854</v>
      </c>
      <c r="J29">
        <v>13581868900</v>
      </c>
      <c r="K29">
        <v>7834</v>
      </c>
    </row>
    <row r="30" spans="1:11" x14ac:dyDescent="0.2">
      <c r="A30" s="5">
        <v>37042</v>
      </c>
      <c r="B30">
        <v>1.0441860000000001E-2</v>
      </c>
      <c r="C30">
        <v>9.0638400000000001E-3</v>
      </c>
      <c r="D30">
        <v>6.2197420000000003E-2</v>
      </c>
      <c r="E30">
        <v>6.0764060000000002E-2</v>
      </c>
      <c r="F30">
        <v>5.0901990000000001E-3</v>
      </c>
      <c r="G30">
        <v>1255.82</v>
      </c>
      <c r="H30">
        <v>14877913400</v>
      </c>
      <c r="I30">
        <v>7778</v>
      </c>
      <c r="J30">
        <v>14692228200</v>
      </c>
      <c r="K30">
        <v>7745</v>
      </c>
    </row>
    <row r="31" spans="1:11" x14ac:dyDescent="0.2">
      <c r="A31" s="5">
        <v>37071</v>
      </c>
      <c r="B31">
        <v>-1.756081E-2</v>
      </c>
      <c r="C31">
        <v>-1.8336350000000001E-2</v>
      </c>
      <c r="D31">
        <v>7.7249880000000003E-3</v>
      </c>
      <c r="E31">
        <v>6.4328480000000006E-3</v>
      </c>
      <c r="F31">
        <v>-2.5003580000000001E-2</v>
      </c>
      <c r="G31">
        <v>1224.42</v>
      </c>
      <c r="H31">
        <v>14638481100</v>
      </c>
      <c r="I31">
        <v>7722</v>
      </c>
      <c r="J31">
        <v>14839057100</v>
      </c>
      <c r="K31">
        <v>7690</v>
      </c>
    </row>
    <row r="32" spans="1:11" x14ac:dyDescent="0.2">
      <c r="A32" s="5">
        <v>37103</v>
      </c>
      <c r="B32">
        <v>-1.8283600000000001E-2</v>
      </c>
      <c r="C32">
        <v>-1.9250340000000001E-2</v>
      </c>
      <c r="D32">
        <v>-2.8402980000000001E-2</v>
      </c>
      <c r="E32">
        <v>-2.968053E-2</v>
      </c>
      <c r="F32">
        <v>-1.0772449999999999E-2</v>
      </c>
      <c r="G32">
        <v>1211.23</v>
      </c>
      <c r="H32">
        <v>14377537500</v>
      </c>
      <c r="I32">
        <v>7676</v>
      </c>
      <c r="J32">
        <v>14612248000</v>
      </c>
      <c r="K32">
        <v>7637</v>
      </c>
    </row>
    <row r="33" spans="1:11" x14ac:dyDescent="0.2">
      <c r="A33" s="5">
        <v>37134</v>
      </c>
      <c r="B33">
        <v>-5.8979839999999999E-2</v>
      </c>
      <c r="C33">
        <v>-6.0354579999999998E-2</v>
      </c>
      <c r="D33">
        <v>-3.501257E-2</v>
      </c>
      <c r="E33">
        <v>-3.6302880000000003E-2</v>
      </c>
      <c r="F33">
        <v>-6.4108390000000001E-2</v>
      </c>
      <c r="G33">
        <v>1133.58</v>
      </c>
      <c r="H33">
        <v>13530300600</v>
      </c>
      <c r="I33">
        <v>7586</v>
      </c>
      <c r="J33">
        <v>14274022300</v>
      </c>
      <c r="K33">
        <v>7562</v>
      </c>
    </row>
    <row r="34" spans="1:11" x14ac:dyDescent="0.2">
      <c r="A34" s="5">
        <v>37162</v>
      </c>
      <c r="B34">
        <v>-9.1497030000000007E-2</v>
      </c>
      <c r="C34">
        <v>-9.2629740000000002E-2</v>
      </c>
      <c r="D34">
        <v>-0.1277867</v>
      </c>
      <c r="E34">
        <v>-0.1290509</v>
      </c>
      <c r="F34">
        <v>-8.1723390000000007E-2</v>
      </c>
      <c r="G34">
        <v>1040.94</v>
      </c>
      <c r="H34">
        <v>12279391700</v>
      </c>
      <c r="I34">
        <v>7552</v>
      </c>
      <c r="J34">
        <v>13501823500</v>
      </c>
      <c r="K34">
        <v>7526</v>
      </c>
    </row>
    <row r="35" spans="1:11" x14ac:dyDescent="0.2">
      <c r="A35" s="5">
        <v>37195</v>
      </c>
      <c r="B35">
        <v>2.7846570000000001E-2</v>
      </c>
      <c r="C35">
        <v>2.6828690000000002E-2</v>
      </c>
      <c r="D35">
        <v>7.8124860000000004E-2</v>
      </c>
      <c r="E35">
        <v>7.7080320000000008E-2</v>
      </c>
      <c r="F35">
        <v>1.8099030000000002E-2</v>
      </c>
      <c r="G35">
        <v>1059.78</v>
      </c>
      <c r="H35">
        <v>12630626600</v>
      </c>
      <c r="I35">
        <v>7530</v>
      </c>
      <c r="J35">
        <v>12209924900</v>
      </c>
      <c r="K35">
        <v>7492</v>
      </c>
    </row>
    <row r="36" spans="1:11" x14ac:dyDescent="0.2">
      <c r="A36" s="5">
        <v>37225</v>
      </c>
      <c r="B36">
        <v>7.8788830000000004E-2</v>
      </c>
      <c r="C36">
        <v>7.7352660000000004E-2</v>
      </c>
      <c r="D36">
        <v>8.079923E-2</v>
      </c>
      <c r="E36">
        <v>7.9632820000000007E-2</v>
      </c>
      <c r="F36">
        <v>7.5175980000000003E-2</v>
      </c>
      <c r="G36">
        <v>1139.45</v>
      </c>
      <c r="H36">
        <v>13606819100</v>
      </c>
      <c r="I36">
        <v>7471</v>
      </c>
      <c r="J36">
        <v>12607572800</v>
      </c>
      <c r="K36">
        <v>7436</v>
      </c>
    </row>
    <row r="37" spans="1:11" x14ac:dyDescent="0.2">
      <c r="A37" s="5">
        <v>37256</v>
      </c>
      <c r="B37">
        <v>1.7853540000000001E-2</v>
      </c>
      <c r="C37">
        <v>1.6572960000000001E-2</v>
      </c>
      <c r="D37">
        <v>5.7720140000000003E-2</v>
      </c>
      <c r="E37">
        <v>5.5951520000000005E-2</v>
      </c>
      <c r="F37">
        <v>7.5738290000000007E-3</v>
      </c>
      <c r="G37">
        <v>1148.08</v>
      </c>
      <c r="H37">
        <v>13848178200</v>
      </c>
      <c r="I37">
        <v>7437</v>
      </c>
      <c r="J37">
        <v>13565467600</v>
      </c>
      <c r="K37">
        <v>7407</v>
      </c>
    </row>
    <row r="38" spans="1:11" x14ac:dyDescent="0.2">
      <c r="A38" s="5">
        <v>37287</v>
      </c>
      <c r="B38">
        <v>-1.5966150000000002E-2</v>
      </c>
      <c r="C38">
        <v>-1.692053E-2</v>
      </c>
      <c r="D38">
        <v>1.8191599999999999E-2</v>
      </c>
      <c r="E38">
        <v>1.7192880000000001E-2</v>
      </c>
      <c r="F38">
        <v>-1.557383E-2</v>
      </c>
      <c r="G38">
        <v>1130.2</v>
      </c>
      <c r="H38">
        <v>13623211900</v>
      </c>
      <c r="I38">
        <v>7389</v>
      </c>
      <c r="J38">
        <v>13825922100</v>
      </c>
      <c r="K38">
        <v>7371</v>
      </c>
    </row>
    <row r="39" spans="1:11" x14ac:dyDescent="0.2">
      <c r="A39" s="5">
        <v>37315</v>
      </c>
      <c r="B39">
        <v>-2.169973E-2</v>
      </c>
      <c r="C39">
        <v>-2.3065800000000001E-2</v>
      </c>
      <c r="D39">
        <v>-3.3065400000000002E-2</v>
      </c>
      <c r="E39">
        <v>-3.4168870000000004E-2</v>
      </c>
      <c r="F39">
        <v>-2.0766240000000002E-2</v>
      </c>
      <c r="G39">
        <v>1106.73</v>
      </c>
      <c r="H39">
        <v>13319767600</v>
      </c>
      <c r="I39">
        <v>7349</v>
      </c>
      <c r="J39">
        <v>13609085100</v>
      </c>
      <c r="K39">
        <v>7329</v>
      </c>
    </row>
    <row r="40" spans="1:11" x14ac:dyDescent="0.2">
      <c r="A40" s="5">
        <v>37343</v>
      </c>
      <c r="B40">
        <v>4.4698359999999999E-2</v>
      </c>
      <c r="C40">
        <v>4.3729839999999999E-2</v>
      </c>
      <c r="D40">
        <v>7.4649610000000005E-2</v>
      </c>
      <c r="E40">
        <v>7.3227479999999998E-2</v>
      </c>
      <c r="F40">
        <v>3.6738859999999998E-2</v>
      </c>
      <c r="G40">
        <v>1147.3900000000001</v>
      </c>
      <c r="H40">
        <v>13941476700</v>
      </c>
      <c r="I40">
        <v>7322</v>
      </c>
      <c r="J40">
        <v>13303747000</v>
      </c>
      <c r="K40">
        <v>7293</v>
      </c>
    </row>
    <row r="41" spans="1:11" x14ac:dyDescent="0.2">
      <c r="A41" s="5">
        <v>37376</v>
      </c>
      <c r="B41">
        <v>-4.9600129999999999E-2</v>
      </c>
      <c r="C41">
        <v>-5.0503590000000001E-2</v>
      </c>
      <c r="D41">
        <v>-3.1649540000000002E-3</v>
      </c>
      <c r="E41">
        <v>-4.3194740000000002E-3</v>
      </c>
      <c r="F41">
        <v>-6.1417650000000004E-2</v>
      </c>
      <c r="G41">
        <v>1076.92</v>
      </c>
      <c r="H41">
        <v>13268193800</v>
      </c>
      <c r="I41">
        <v>7266</v>
      </c>
      <c r="J41">
        <v>13934924100</v>
      </c>
      <c r="K41">
        <v>7239</v>
      </c>
    </row>
    <row r="42" spans="1:11" x14ac:dyDescent="0.2">
      <c r="A42" s="5">
        <v>37407</v>
      </c>
      <c r="B42">
        <v>-1.0509549999999999E-2</v>
      </c>
      <c r="C42">
        <v>-1.1957870000000001E-2</v>
      </c>
      <c r="D42">
        <v>-1.550722E-2</v>
      </c>
      <c r="E42">
        <v>-1.6972649999999999E-2</v>
      </c>
      <c r="F42">
        <v>-9.0814550000000004E-3</v>
      </c>
      <c r="G42">
        <v>1067.1400000000001</v>
      </c>
      <c r="H42">
        <v>13220221100</v>
      </c>
      <c r="I42">
        <v>7237</v>
      </c>
      <c r="J42">
        <v>13240158500</v>
      </c>
      <c r="K42">
        <v>7209</v>
      </c>
    </row>
    <row r="43" spans="1:11" x14ac:dyDescent="0.2">
      <c r="A43" s="5">
        <v>37435</v>
      </c>
      <c r="B43">
        <v>-7.0259180000000004E-2</v>
      </c>
      <c r="C43">
        <v>-7.1514910000000001E-2</v>
      </c>
      <c r="D43">
        <v>-6.7317219999999997E-2</v>
      </c>
      <c r="E43">
        <v>-6.8723980000000004E-2</v>
      </c>
      <c r="F43">
        <v>-7.2464719999999996E-2</v>
      </c>
      <c r="G43">
        <v>989.81</v>
      </c>
      <c r="H43">
        <v>12329875500</v>
      </c>
      <c r="I43">
        <v>7214</v>
      </c>
      <c r="J43">
        <v>13206811000</v>
      </c>
      <c r="K43">
        <v>7180</v>
      </c>
    </row>
    <row r="44" spans="1:11" x14ac:dyDescent="0.2">
      <c r="A44" s="5">
        <v>37468</v>
      </c>
      <c r="B44">
        <v>-8.1124630000000003E-2</v>
      </c>
      <c r="C44">
        <v>-8.2309560000000004E-2</v>
      </c>
      <c r="D44">
        <v>-0.1074972</v>
      </c>
      <c r="E44">
        <v>-0.1085158</v>
      </c>
      <c r="F44">
        <v>-7.8994960000000003E-2</v>
      </c>
      <c r="G44">
        <v>911.62</v>
      </c>
      <c r="H44">
        <v>11336304200</v>
      </c>
      <c r="I44">
        <v>7187</v>
      </c>
      <c r="J44">
        <v>12312162200</v>
      </c>
      <c r="K44">
        <v>7156</v>
      </c>
    </row>
    <row r="45" spans="1:11" x14ac:dyDescent="0.2">
      <c r="A45" s="5">
        <v>37498</v>
      </c>
      <c r="B45">
        <v>7.9489020000000007E-3</v>
      </c>
      <c r="C45">
        <v>6.4045650000000001E-3</v>
      </c>
      <c r="D45">
        <v>6.3366890000000004E-3</v>
      </c>
      <c r="E45">
        <v>5.0591289999999999E-3</v>
      </c>
      <c r="F45">
        <v>4.88142E-3</v>
      </c>
      <c r="G45">
        <v>916.07</v>
      </c>
      <c r="H45">
        <v>11398403100</v>
      </c>
      <c r="I45">
        <v>7126</v>
      </c>
      <c r="J45">
        <v>11325174000</v>
      </c>
      <c r="K45">
        <v>7111</v>
      </c>
    </row>
    <row r="46" spans="1:11" x14ac:dyDescent="0.2">
      <c r="A46" s="5">
        <v>37529</v>
      </c>
      <c r="B46">
        <v>-9.9922810000000001E-2</v>
      </c>
      <c r="C46">
        <v>-0.1013867</v>
      </c>
      <c r="D46">
        <v>-8.4490410000000002E-2</v>
      </c>
      <c r="E46">
        <v>-8.5870760000000004E-2</v>
      </c>
      <c r="F46">
        <v>-0.1100134</v>
      </c>
      <c r="G46">
        <v>815.29</v>
      </c>
      <c r="H46">
        <v>10241738600</v>
      </c>
      <c r="I46">
        <v>7096</v>
      </c>
      <c r="J46">
        <v>11380879500</v>
      </c>
      <c r="K46">
        <v>7076</v>
      </c>
    </row>
    <row r="47" spans="1:11" x14ac:dyDescent="0.2">
      <c r="A47" s="5">
        <v>37560</v>
      </c>
      <c r="B47">
        <v>7.4939660000000005E-2</v>
      </c>
      <c r="C47">
        <v>7.3522190000000001E-2</v>
      </c>
      <c r="D47">
        <v>4.2773060000000002E-2</v>
      </c>
      <c r="E47">
        <v>4.1581359999999998E-2</v>
      </c>
      <c r="F47">
        <v>8.6435499999999998E-2</v>
      </c>
      <c r="G47">
        <v>885.76</v>
      </c>
      <c r="H47">
        <v>11003231400</v>
      </c>
      <c r="I47">
        <v>7056</v>
      </c>
      <c r="J47">
        <v>10231697400</v>
      </c>
      <c r="K47">
        <v>7020</v>
      </c>
    </row>
    <row r="48" spans="1:11" x14ac:dyDescent="0.2">
      <c r="A48" s="5">
        <v>37589</v>
      </c>
      <c r="B48">
        <v>6.128161E-2</v>
      </c>
      <c r="C48">
        <v>5.9611770000000001E-2</v>
      </c>
      <c r="D48">
        <v>0.11777539999999999</v>
      </c>
      <c r="E48">
        <v>0.1163892</v>
      </c>
      <c r="F48">
        <v>5.7069639999999998E-2</v>
      </c>
      <c r="G48">
        <v>936.31</v>
      </c>
      <c r="H48">
        <v>11659670600</v>
      </c>
      <c r="I48">
        <v>7056</v>
      </c>
      <c r="J48">
        <v>10974518300</v>
      </c>
      <c r="K48">
        <v>7006</v>
      </c>
    </row>
    <row r="49" spans="1:11" x14ac:dyDescent="0.2">
      <c r="A49" s="5">
        <v>37621</v>
      </c>
      <c r="B49">
        <v>-5.3334409999999999E-2</v>
      </c>
      <c r="C49">
        <v>-5.497705E-2</v>
      </c>
      <c r="D49">
        <v>-4.0158610000000004E-2</v>
      </c>
      <c r="E49">
        <v>-4.205627E-2</v>
      </c>
      <c r="F49">
        <v>-6.0332580000000004E-2</v>
      </c>
      <c r="G49">
        <v>879.82</v>
      </c>
      <c r="H49">
        <v>11029741700</v>
      </c>
      <c r="I49">
        <v>7020</v>
      </c>
      <c r="J49">
        <v>11649204500</v>
      </c>
      <c r="K49">
        <v>6991</v>
      </c>
    </row>
    <row r="50" spans="1:11" x14ac:dyDescent="0.2">
      <c r="A50" s="5">
        <v>37652</v>
      </c>
      <c r="B50">
        <v>-2.336659E-2</v>
      </c>
      <c r="C50">
        <v>-2.457643E-2</v>
      </c>
      <c r="D50">
        <v>6.0681890000000007E-3</v>
      </c>
      <c r="E50">
        <v>4.7031490000000002E-3</v>
      </c>
      <c r="F50">
        <v>-2.74147E-2</v>
      </c>
      <c r="G50">
        <v>855.7</v>
      </c>
      <c r="H50">
        <v>10757369900</v>
      </c>
      <c r="I50">
        <v>6974</v>
      </c>
      <c r="J50">
        <v>11017322900</v>
      </c>
      <c r="K50">
        <v>6957</v>
      </c>
    </row>
    <row r="51" spans="1:11" x14ac:dyDescent="0.2">
      <c r="A51" s="5">
        <v>37680</v>
      </c>
      <c r="B51">
        <v>-1.5417210000000001E-2</v>
      </c>
      <c r="C51">
        <v>-1.7243290000000001E-2</v>
      </c>
      <c r="D51">
        <v>-2.1447839999999999E-2</v>
      </c>
      <c r="E51">
        <v>-2.2694040000000002E-2</v>
      </c>
      <c r="F51">
        <v>-1.7003620000000001E-2</v>
      </c>
      <c r="G51">
        <v>841.15</v>
      </c>
      <c r="H51">
        <v>10568696100</v>
      </c>
      <c r="I51">
        <v>6937</v>
      </c>
      <c r="J51">
        <v>10748937000</v>
      </c>
      <c r="K51">
        <v>6920</v>
      </c>
    </row>
    <row r="52" spans="1:11" x14ac:dyDescent="0.2">
      <c r="A52" s="5">
        <v>37711</v>
      </c>
      <c r="B52">
        <v>1.032112E-2</v>
      </c>
      <c r="C52">
        <v>8.9009090000000003E-3</v>
      </c>
      <c r="D52">
        <v>9.4339490000000005E-3</v>
      </c>
      <c r="E52">
        <v>7.5527500000000004E-3</v>
      </c>
      <c r="F52">
        <v>8.3576060000000001E-3</v>
      </c>
      <c r="G52">
        <v>848.18</v>
      </c>
      <c r="H52">
        <v>10672373100</v>
      </c>
      <c r="I52">
        <v>6870</v>
      </c>
      <c r="J52">
        <v>10545607300</v>
      </c>
      <c r="K52">
        <v>6857</v>
      </c>
    </row>
    <row r="53" spans="1:11" x14ac:dyDescent="0.2">
      <c r="A53" s="5">
        <v>37741</v>
      </c>
      <c r="B53">
        <v>8.2767610000000005E-2</v>
      </c>
      <c r="C53">
        <v>8.1180210000000003E-2</v>
      </c>
      <c r="D53">
        <v>9.8230919999999999E-2</v>
      </c>
      <c r="E53">
        <v>9.6692760000000003E-2</v>
      </c>
      <c r="F53">
        <v>8.1044119999999997E-2</v>
      </c>
      <c r="G53">
        <v>916.92</v>
      </c>
      <c r="H53">
        <v>11542163800</v>
      </c>
      <c r="I53">
        <v>6834</v>
      </c>
      <c r="J53">
        <v>10609326800</v>
      </c>
      <c r="K53">
        <v>6815</v>
      </c>
    </row>
    <row r="54" spans="1:11" x14ac:dyDescent="0.2">
      <c r="A54" s="5">
        <v>37771</v>
      </c>
      <c r="B54">
        <v>6.3471260000000002E-2</v>
      </c>
      <c r="C54">
        <v>6.1777829999999999E-2</v>
      </c>
      <c r="D54">
        <v>0.1331775</v>
      </c>
      <c r="E54">
        <v>0.1316715</v>
      </c>
      <c r="F54">
        <v>5.0898659999999998E-2</v>
      </c>
      <c r="G54">
        <v>963.59</v>
      </c>
      <c r="H54">
        <v>12251384900</v>
      </c>
      <c r="I54">
        <v>6795</v>
      </c>
      <c r="J54">
        <v>11537185600</v>
      </c>
      <c r="K54">
        <v>6778</v>
      </c>
    </row>
    <row r="55" spans="1:11" x14ac:dyDescent="0.2">
      <c r="A55" s="5">
        <v>37802</v>
      </c>
      <c r="B55">
        <v>1.634584E-2</v>
      </c>
      <c r="C55">
        <v>1.4797030000000001E-2</v>
      </c>
      <c r="D55">
        <v>4.9745060000000001E-2</v>
      </c>
      <c r="E55">
        <v>4.8073080000000004E-2</v>
      </c>
      <c r="F55">
        <v>1.1322240000000001E-2</v>
      </c>
      <c r="G55">
        <v>974.5</v>
      </c>
      <c r="H55">
        <v>12448794300</v>
      </c>
      <c r="I55">
        <v>6774</v>
      </c>
      <c r="J55">
        <v>12244898700</v>
      </c>
      <c r="K55">
        <v>6749</v>
      </c>
    </row>
    <row r="56" spans="1:11" x14ac:dyDescent="0.2">
      <c r="A56" s="5">
        <v>37833</v>
      </c>
      <c r="B56">
        <v>2.3112190000000001E-2</v>
      </c>
      <c r="C56">
        <v>2.176413E-2</v>
      </c>
      <c r="D56">
        <v>6.1927330000000003E-2</v>
      </c>
      <c r="E56">
        <v>6.0521110000000003E-2</v>
      </c>
      <c r="F56">
        <v>1.6223700000000001E-2</v>
      </c>
      <c r="G56">
        <v>990.31</v>
      </c>
      <c r="H56">
        <v>12723890200</v>
      </c>
      <c r="I56">
        <v>6742</v>
      </c>
      <c r="J56">
        <v>12435402200</v>
      </c>
      <c r="K56">
        <v>6714</v>
      </c>
    </row>
    <row r="57" spans="1:11" x14ac:dyDescent="0.2">
      <c r="A57" s="5">
        <v>37862</v>
      </c>
      <c r="B57">
        <v>2.4965359999999999E-2</v>
      </c>
      <c r="C57">
        <v>2.3486280000000002E-2</v>
      </c>
      <c r="D57">
        <v>4.7429199999999998E-2</v>
      </c>
      <c r="E57">
        <v>4.5975849999999999E-2</v>
      </c>
      <c r="F57">
        <v>1.7873190000000001E-2</v>
      </c>
      <c r="G57">
        <v>1008.01</v>
      </c>
      <c r="H57">
        <v>13039377600</v>
      </c>
      <c r="I57">
        <v>6715</v>
      </c>
      <c r="J57">
        <v>12708175200</v>
      </c>
      <c r="K57">
        <v>6689</v>
      </c>
    </row>
    <row r="58" spans="1:11" x14ac:dyDescent="0.2">
      <c r="A58" s="5">
        <v>37894</v>
      </c>
      <c r="B58">
        <v>-9.1202350000000008E-3</v>
      </c>
      <c r="C58">
        <v>-1.0606840000000001E-2</v>
      </c>
      <c r="D58">
        <v>2.523941E-2</v>
      </c>
      <c r="E58">
        <v>2.3648950000000002E-2</v>
      </c>
      <c r="F58">
        <v>-1.194433E-2</v>
      </c>
      <c r="G58">
        <v>995.97</v>
      </c>
      <c r="H58">
        <v>12959560300</v>
      </c>
      <c r="I58">
        <v>6709</v>
      </c>
      <c r="J58">
        <v>13031810500</v>
      </c>
      <c r="K58">
        <v>6680</v>
      </c>
    </row>
    <row r="59" spans="1:11" x14ac:dyDescent="0.2">
      <c r="A59" s="5">
        <v>37925</v>
      </c>
      <c r="B59">
        <v>6.0360790000000004E-2</v>
      </c>
      <c r="C59">
        <v>5.888152E-2</v>
      </c>
      <c r="D59">
        <v>8.0953700000000003E-2</v>
      </c>
      <c r="E59">
        <v>7.9413880000000006E-2</v>
      </c>
      <c r="F59">
        <v>5.4961500000000003E-2</v>
      </c>
      <c r="G59">
        <v>1050.71</v>
      </c>
      <c r="H59">
        <v>13736339700</v>
      </c>
      <c r="I59">
        <v>6703</v>
      </c>
      <c r="J59">
        <v>12951850600</v>
      </c>
      <c r="K59">
        <v>6670</v>
      </c>
    </row>
    <row r="60" spans="1:11" x14ac:dyDescent="0.2">
      <c r="A60" s="5">
        <v>37953</v>
      </c>
      <c r="B60">
        <v>1.6594100000000001E-2</v>
      </c>
      <c r="C60">
        <v>1.505241E-2</v>
      </c>
      <c r="D60">
        <v>3.8147100000000003E-2</v>
      </c>
      <c r="E60">
        <v>3.6666940000000002E-2</v>
      </c>
      <c r="F60">
        <v>7.1285130000000004E-3</v>
      </c>
      <c r="G60">
        <v>1058.2</v>
      </c>
      <c r="H60">
        <v>13967732700</v>
      </c>
      <c r="I60">
        <v>6688</v>
      </c>
      <c r="J60">
        <v>13718413300</v>
      </c>
      <c r="K60">
        <v>6653</v>
      </c>
    </row>
    <row r="61" spans="1:11" x14ac:dyDescent="0.2">
      <c r="A61" s="5">
        <v>37986</v>
      </c>
      <c r="B61">
        <v>4.5476389999999998E-2</v>
      </c>
      <c r="C61">
        <v>4.3819690000000001E-2</v>
      </c>
      <c r="D61">
        <v>3.8908770000000002E-2</v>
      </c>
      <c r="E61">
        <v>3.6919390000000003E-2</v>
      </c>
      <c r="F61">
        <v>5.0765450000000004E-2</v>
      </c>
      <c r="G61">
        <v>1111.92</v>
      </c>
      <c r="H61">
        <v>14581819400</v>
      </c>
      <c r="I61">
        <v>6690</v>
      </c>
      <c r="J61">
        <v>13937611800</v>
      </c>
      <c r="K61">
        <v>6640</v>
      </c>
    </row>
    <row r="62" spans="1:11" x14ac:dyDescent="0.2">
      <c r="A62" s="5">
        <v>38016</v>
      </c>
      <c r="B62">
        <v>2.304194E-2</v>
      </c>
      <c r="C62">
        <v>2.2018940000000001E-2</v>
      </c>
      <c r="D62">
        <v>6.5762580000000001E-2</v>
      </c>
      <c r="E62">
        <v>6.4746440000000002E-2</v>
      </c>
      <c r="F62">
        <v>1.7276420000000001E-2</v>
      </c>
      <c r="G62">
        <v>1131.1300000000001</v>
      </c>
      <c r="H62">
        <v>14913081600</v>
      </c>
      <c r="I62">
        <v>6693</v>
      </c>
      <c r="J62">
        <v>14573697100</v>
      </c>
      <c r="K62">
        <v>6650</v>
      </c>
    </row>
    <row r="63" spans="1:11" x14ac:dyDescent="0.2">
      <c r="A63" s="5">
        <v>38044</v>
      </c>
      <c r="B63">
        <v>1.544306E-2</v>
      </c>
      <c r="C63">
        <v>1.395802E-2</v>
      </c>
      <c r="D63">
        <v>1.3719840000000001E-2</v>
      </c>
      <c r="E63">
        <v>1.2521600000000001E-2</v>
      </c>
      <c r="F63">
        <v>1.2209030000000001E-2</v>
      </c>
      <c r="G63">
        <v>1144.94</v>
      </c>
      <c r="H63">
        <v>15166342000</v>
      </c>
      <c r="I63">
        <v>6697</v>
      </c>
      <c r="J63">
        <v>14895093800</v>
      </c>
      <c r="K63">
        <v>6655</v>
      </c>
    </row>
    <row r="64" spans="1:11" x14ac:dyDescent="0.2">
      <c r="A64" s="5">
        <v>38077</v>
      </c>
      <c r="B64">
        <v>-1.066161E-2</v>
      </c>
      <c r="C64">
        <v>-1.1985280000000001E-2</v>
      </c>
      <c r="D64">
        <v>6.2934330000000002E-3</v>
      </c>
      <c r="E64">
        <v>4.6643259999999999E-3</v>
      </c>
      <c r="F64">
        <v>-1.6358939999999999E-2</v>
      </c>
      <c r="G64">
        <v>1126.21</v>
      </c>
      <c r="H64">
        <v>15037206200</v>
      </c>
      <c r="I64">
        <v>6705</v>
      </c>
      <c r="J64">
        <v>15151576000</v>
      </c>
      <c r="K64">
        <v>6666</v>
      </c>
    </row>
    <row r="65" spans="1:11" x14ac:dyDescent="0.2">
      <c r="A65" s="5">
        <v>38107</v>
      </c>
      <c r="B65">
        <v>-2.4221929999999999E-2</v>
      </c>
      <c r="C65">
        <v>-2.5568190000000001E-2</v>
      </c>
      <c r="D65">
        <v>-4.3589849999999999E-2</v>
      </c>
      <c r="E65">
        <v>-4.479371E-2</v>
      </c>
      <c r="F65">
        <v>-1.679083E-2</v>
      </c>
      <c r="G65">
        <v>1107.3</v>
      </c>
      <c r="H65">
        <v>14677486500</v>
      </c>
      <c r="I65">
        <v>6691</v>
      </c>
      <c r="J65">
        <v>14932476900</v>
      </c>
      <c r="K65">
        <v>6657</v>
      </c>
    </row>
    <row r="66" spans="1:11" x14ac:dyDescent="0.2">
      <c r="A66" s="5">
        <v>38135</v>
      </c>
      <c r="B66">
        <v>1.406833E-2</v>
      </c>
      <c r="C66">
        <v>1.238394E-2</v>
      </c>
      <c r="D66">
        <v>2.5928740000000002E-3</v>
      </c>
      <c r="E66">
        <v>9.1846220000000006E-4</v>
      </c>
      <c r="F66">
        <v>1.2083450000000001E-2</v>
      </c>
      <c r="G66">
        <v>1120.68</v>
      </c>
      <c r="H66">
        <v>14886272900</v>
      </c>
      <c r="I66">
        <v>6691</v>
      </c>
      <c r="J66">
        <v>14667895700</v>
      </c>
      <c r="K66">
        <v>6653</v>
      </c>
    </row>
    <row r="67" spans="1:11" x14ac:dyDescent="0.2">
      <c r="A67" s="5">
        <v>38168</v>
      </c>
      <c r="B67">
        <v>2.1610919999999999E-2</v>
      </c>
      <c r="C67">
        <v>2.004881E-2</v>
      </c>
      <c r="D67">
        <v>2.2731330000000001E-2</v>
      </c>
      <c r="E67">
        <v>2.1000150000000002E-2</v>
      </c>
      <c r="F67">
        <v>1.7989080000000001E-2</v>
      </c>
      <c r="G67">
        <v>1140.8399999999999</v>
      </c>
      <c r="H67">
        <v>15187691900</v>
      </c>
      <c r="I67">
        <v>6693</v>
      </c>
      <c r="J67">
        <v>14872361300</v>
      </c>
      <c r="K67">
        <v>6649</v>
      </c>
    </row>
    <row r="68" spans="1:11" x14ac:dyDescent="0.2">
      <c r="A68" s="5">
        <v>38198</v>
      </c>
      <c r="B68">
        <v>-3.7697670000000003E-2</v>
      </c>
      <c r="C68">
        <v>-3.8791970000000002E-2</v>
      </c>
      <c r="D68">
        <v>-5.1091040000000004E-2</v>
      </c>
      <c r="E68">
        <v>-5.2318030000000001E-2</v>
      </c>
      <c r="F68">
        <v>-3.4290519999999998E-2</v>
      </c>
      <c r="G68">
        <v>1101.72</v>
      </c>
      <c r="H68">
        <v>14611313300</v>
      </c>
      <c r="I68">
        <v>6696</v>
      </c>
      <c r="J68">
        <v>15105705400</v>
      </c>
      <c r="K68">
        <v>6640</v>
      </c>
    </row>
    <row r="69" spans="1:11" x14ac:dyDescent="0.2">
      <c r="A69" s="5">
        <v>38230</v>
      </c>
      <c r="B69">
        <v>2.7028830000000001E-3</v>
      </c>
      <c r="C69">
        <v>1.057545E-3</v>
      </c>
      <c r="D69">
        <v>-4.7403599999999999E-3</v>
      </c>
      <c r="E69">
        <v>-6.2064260000000001E-3</v>
      </c>
      <c r="F69">
        <v>2.287332E-3</v>
      </c>
      <c r="G69">
        <v>1104.24</v>
      </c>
      <c r="H69">
        <v>14639197500</v>
      </c>
      <c r="I69">
        <v>6691</v>
      </c>
      <c r="J69">
        <v>14596082800</v>
      </c>
      <c r="K69">
        <v>6658</v>
      </c>
    </row>
    <row r="70" spans="1:11" x14ac:dyDescent="0.2">
      <c r="A70" s="5">
        <v>38260</v>
      </c>
      <c r="B70">
        <v>2.055616E-2</v>
      </c>
      <c r="C70">
        <v>1.9098839999999999E-2</v>
      </c>
      <c r="D70">
        <v>4.1600690000000003E-2</v>
      </c>
      <c r="E70">
        <v>4.000952E-2</v>
      </c>
      <c r="F70">
        <v>9.363906E-3</v>
      </c>
      <c r="G70">
        <v>1114.58</v>
      </c>
      <c r="H70">
        <v>14920472000</v>
      </c>
      <c r="I70">
        <v>6706</v>
      </c>
      <c r="J70">
        <v>14624553700</v>
      </c>
      <c r="K70">
        <v>6667</v>
      </c>
    </row>
    <row r="71" spans="1:11" x14ac:dyDescent="0.2">
      <c r="A71" s="5">
        <v>38289</v>
      </c>
      <c r="B71">
        <v>1.780559E-2</v>
      </c>
      <c r="C71">
        <v>1.6578800000000001E-2</v>
      </c>
      <c r="D71">
        <v>2.084536E-2</v>
      </c>
      <c r="E71">
        <v>1.9634769999999999E-2</v>
      </c>
      <c r="F71">
        <v>1.4014250000000001E-2</v>
      </c>
      <c r="G71">
        <v>1130.2</v>
      </c>
      <c r="H71">
        <v>15142568300</v>
      </c>
      <c r="I71">
        <v>6720</v>
      </c>
      <c r="J71">
        <v>14851981800</v>
      </c>
      <c r="K71">
        <v>6666</v>
      </c>
    </row>
    <row r="72" spans="1:11" x14ac:dyDescent="0.2">
      <c r="A72" s="5">
        <v>38321</v>
      </c>
      <c r="B72">
        <v>4.8213789999999999E-2</v>
      </c>
      <c r="C72">
        <v>4.432026E-2</v>
      </c>
      <c r="D72">
        <v>7.9934710000000006E-2</v>
      </c>
      <c r="E72">
        <v>7.8355590000000003E-2</v>
      </c>
      <c r="F72">
        <v>3.8594940000000001E-2</v>
      </c>
      <c r="G72">
        <v>1173.82</v>
      </c>
      <c r="H72">
        <v>15892686600</v>
      </c>
      <c r="I72">
        <v>6718</v>
      </c>
      <c r="J72">
        <v>15114108200</v>
      </c>
      <c r="K72">
        <v>6680</v>
      </c>
    </row>
    <row r="73" spans="1:11" x14ac:dyDescent="0.2">
      <c r="A73" s="5">
        <v>38352</v>
      </c>
      <c r="B73">
        <v>3.5169720000000002E-2</v>
      </c>
      <c r="C73">
        <v>3.34138E-2</v>
      </c>
      <c r="D73">
        <v>5.2928070000000001E-2</v>
      </c>
      <c r="E73">
        <v>5.0632980000000001E-2</v>
      </c>
      <c r="F73">
        <v>3.2458130000000002E-2</v>
      </c>
      <c r="G73">
        <v>1211.92</v>
      </c>
      <c r="H73">
        <v>16455382200</v>
      </c>
      <c r="I73">
        <v>6732</v>
      </c>
      <c r="J73">
        <v>15837420400</v>
      </c>
      <c r="K73">
        <v>6679</v>
      </c>
    </row>
    <row r="74" spans="1:11" x14ac:dyDescent="0.2">
      <c r="A74" s="5">
        <v>38383</v>
      </c>
      <c r="B74">
        <v>-2.6545889999999999E-2</v>
      </c>
      <c r="C74">
        <v>-2.7399470000000002E-2</v>
      </c>
      <c r="D74">
        <v>-2.928209E-2</v>
      </c>
      <c r="E74">
        <v>-3.0145500000000002E-2</v>
      </c>
      <c r="F74">
        <v>-2.5290449999999999E-2</v>
      </c>
      <c r="G74">
        <v>1181.27</v>
      </c>
      <c r="H74">
        <v>16003221100</v>
      </c>
      <c r="I74">
        <v>6719</v>
      </c>
      <c r="J74">
        <v>16432206400</v>
      </c>
      <c r="K74">
        <v>6691</v>
      </c>
    </row>
    <row r="75" spans="1:11" x14ac:dyDescent="0.2">
      <c r="A75" s="5">
        <v>38411</v>
      </c>
      <c r="B75">
        <v>2.2646099999999999E-2</v>
      </c>
      <c r="C75">
        <v>2.0809919999999999E-2</v>
      </c>
      <c r="D75">
        <v>1.66432E-2</v>
      </c>
      <c r="E75">
        <v>1.5381190000000001E-2</v>
      </c>
      <c r="F75">
        <v>1.8903380000000001E-2</v>
      </c>
      <c r="G75">
        <v>1203.5999999999999</v>
      </c>
      <c r="H75">
        <v>16348814000</v>
      </c>
      <c r="I75">
        <v>6729</v>
      </c>
      <c r="J75">
        <v>15994345100</v>
      </c>
      <c r="K75">
        <v>6686</v>
      </c>
    </row>
    <row r="76" spans="1:11" x14ac:dyDescent="0.2">
      <c r="A76" s="5">
        <v>38442</v>
      </c>
      <c r="B76">
        <v>-1.6943639999999999E-2</v>
      </c>
      <c r="C76">
        <v>-1.8577929999999999E-2</v>
      </c>
      <c r="D76">
        <v>-3.1841929999999997E-2</v>
      </c>
      <c r="E76">
        <v>-3.3588270000000003E-2</v>
      </c>
      <c r="F76">
        <v>-1.911765E-2</v>
      </c>
      <c r="G76">
        <v>1180.5899999999999</v>
      </c>
      <c r="H76">
        <v>16073148100</v>
      </c>
      <c r="I76">
        <v>6732</v>
      </c>
      <c r="J76">
        <v>16308014100</v>
      </c>
      <c r="K76">
        <v>6695</v>
      </c>
    </row>
    <row r="77" spans="1:11" x14ac:dyDescent="0.2">
      <c r="A77" s="5">
        <v>38471</v>
      </c>
      <c r="B77">
        <v>-2.5206300000000001E-2</v>
      </c>
      <c r="C77">
        <v>-2.658978E-2</v>
      </c>
      <c r="D77">
        <v>-4.6512329999999998E-2</v>
      </c>
      <c r="E77">
        <v>-4.7919160000000002E-2</v>
      </c>
      <c r="F77">
        <v>-2.0108589999999999E-2</v>
      </c>
      <c r="G77">
        <v>1156.8499999999999</v>
      </c>
      <c r="H77">
        <v>15652628600</v>
      </c>
      <c r="I77">
        <v>6723</v>
      </c>
      <c r="J77">
        <v>16048448200</v>
      </c>
      <c r="K77">
        <v>6690</v>
      </c>
    </row>
    <row r="78" spans="1:11" x14ac:dyDescent="0.2">
      <c r="A78" s="5">
        <v>38503</v>
      </c>
      <c r="B78">
        <v>3.7954000000000002E-2</v>
      </c>
      <c r="C78">
        <v>3.6150670000000003E-2</v>
      </c>
      <c r="D78">
        <v>4.3820350000000001E-2</v>
      </c>
      <c r="E78">
        <v>4.2220100000000003E-2</v>
      </c>
      <c r="F78">
        <v>2.9952030000000001E-2</v>
      </c>
      <c r="G78">
        <v>1191.5</v>
      </c>
      <c r="H78">
        <v>16208529900</v>
      </c>
      <c r="I78">
        <v>6723</v>
      </c>
      <c r="J78">
        <v>15637305800</v>
      </c>
      <c r="K78">
        <v>6682</v>
      </c>
    </row>
    <row r="79" spans="1:11" x14ac:dyDescent="0.2">
      <c r="A79" s="5">
        <v>38533</v>
      </c>
      <c r="B79">
        <v>1.1528989999999999E-2</v>
      </c>
      <c r="C79">
        <v>9.9045499999999998E-3</v>
      </c>
      <c r="D79">
        <v>3.2138710000000001E-2</v>
      </c>
      <c r="E79">
        <v>3.0196500000000001E-2</v>
      </c>
      <c r="F79">
        <v>-1.4267730000000001E-4</v>
      </c>
      <c r="G79">
        <v>1191.33</v>
      </c>
      <c r="H79">
        <v>16379346500</v>
      </c>
      <c r="I79">
        <v>6752</v>
      </c>
      <c r="J79">
        <v>16188761500</v>
      </c>
      <c r="K79">
        <v>6688</v>
      </c>
    </row>
    <row r="80" spans="1:11" x14ac:dyDescent="0.2">
      <c r="A80" s="5">
        <v>38562</v>
      </c>
      <c r="B80">
        <v>4.3357470000000002E-2</v>
      </c>
      <c r="C80">
        <v>4.2251370000000003E-2</v>
      </c>
      <c r="D80">
        <v>5.8750790000000004E-2</v>
      </c>
      <c r="E80">
        <v>5.7704720000000001E-2</v>
      </c>
      <c r="F80">
        <v>3.5968199999999999E-2</v>
      </c>
      <c r="G80">
        <v>1234.18</v>
      </c>
      <c r="H80">
        <v>17064941900</v>
      </c>
      <c r="I80">
        <v>6749</v>
      </c>
      <c r="J80">
        <v>16346092100</v>
      </c>
      <c r="K80">
        <v>6704</v>
      </c>
    </row>
    <row r="81" spans="1:11" x14ac:dyDescent="0.2">
      <c r="A81" s="5">
        <v>38595</v>
      </c>
      <c r="B81">
        <v>-5.9582930000000008E-3</v>
      </c>
      <c r="C81">
        <v>-7.7759770000000008E-3</v>
      </c>
      <c r="D81">
        <v>-7.2155860000000004E-3</v>
      </c>
      <c r="E81">
        <v>-8.5871710000000011E-3</v>
      </c>
      <c r="F81">
        <v>-1.1222030000000001E-2</v>
      </c>
      <c r="G81">
        <v>1220.33</v>
      </c>
      <c r="H81">
        <v>16915944500</v>
      </c>
      <c r="I81">
        <v>6746</v>
      </c>
      <c r="J81">
        <v>16958576300</v>
      </c>
      <c r="K81">
        <v>6692</v>
      </c>
    </row>
    <row r="82" spans="1:11" x14ac:dyDescent="0.2">
      <c r="A82" s="5">
        <v>38625</v>
      </c>
      <c r="B82">
        <v>1.059976E-2</v>
      </c>
      <c r="C82">
        <v>9.3314959999999999E-3</v>
      </c>
      <c r="D82">
        <v>1.0533250000000001E-2</v>
      </c>
      <c r="E82">
        <v>9.0164240000000003E-3</v>
      </c>
      <c r="F82">
        <v>6.9489400000000007E-3</v>
      </c>
      <c r="G82">
        <v>1228.81</v>
      </c>
      <c r="H82">
        <v>17079651100</v>
      </c>
      <c r="I82">
        <v>6744</v>
      </c>
      <c r="J82">
        <v>16896477300</v>
      </c>
      <c r="K82">
        <v>6707</v>
      </c>
    </row>
    <row r="83" spans="1:11" x14ac:dyDescent="0.2">
      <c r="A83" s="5">
        <v>38656</v>
      </c>
      <c r="B83">
        <v>-2.0865580000000002E-2</v>
      </c>
      <c r="C83">
        <v>-2.197352E-2</v>
      </c>
      <c r="D83">
        <v>-3.3875889999999999E-2</v>
      </c>
      <c r="E83">
        <v>-3.5031340000000001E-2</v>
      </c>
      <c r="F83">
        <v>-1.7740740000000001E-2</v>
      </c>
      <c r="G83">
        <v>1207.01</v>
      </c>
      <c r="H83">
        <v>16699605400</v>
      </c>
      <c r="I83">
        <v>6739</v>
      </c>
      <c r="J83">
        <v>16990654500</v>
      </c>
      <c r="K83">
        <v>6692</v>
      </c>
    </row>
    <row r="84" spans="1:11" x14ac:dyDescent="0.2">
      <c r="A84" s="5">
        <v>38686</v>
      </c>
      <c r="B84">
        <v>4.0326359999999999E-2</v>
      </c>
      <c r="C84">
        <v>3.8073070000000001E-2</v>
      </c>
      <c r="D84">
        <v>3.4319120000000002E-2</v>
      </c>
      <c r="E84">
        <v>3.2775199999999997E-2</v>
      </c>
      <c r="F84">
        <v>3.5186120000000001E-2</v>
      </c>
      <c r="G84">
        <v>1249.48</v>
      </c>
      <c r="H84">
        <v>17357113700</v>
      </c>
      <c r="I84">
        <v>6746</v>
      </c>
      <c r="J84">
        <v>16661347900</v>
      </c>
      <c r="K84">
        <v>6698</v>
      </c>
    </row>
    <row r="85" spans="1:11" x14ac:dyDescent="0.2">
      <c r="A85" s="5">
        <v>38716</v>
      </c>
      <c r="B85">
        <v>3.4576280000000004E-3</v>
      </c>
      <c r="C85">
        <v>1.8842780000000001E-3</v>
      </c>
      <c r="D85">
        <v>1.3485850000000001E-2</v>
      </c>
      <c r="E85">
        <v>1.1156630000000001E-2</v>
      </c>
      <c r="F85">
        <v>-9.5239620000000006E-4</v>
      </c>
      <c r="G85">
        <v>1248.29</v>
      </c>
      <c r="H85">
        <v>17375549600</v>
      </c>
      <c r="I85">
        <v>6748</v>
      </c>
      <c r="J85">
        <v>17307486900</v>
      </c>
      <c r="K85">
        <v>6695</v>
      </c>
    </row>
    <row r="86" spans="1:11" x14ac:dyDescent="0.2">
      <c r="A86" s="5">
        <v>38748</v>
      </c>
      <c r="B86">
        <v>4.0071889999999999E-2</v>
      </c>
      <c r="C86">
        <v>3.8966350000000004E-2</v>
      </c>
      <c r="D86">
        <v>7.635372E-2</v>
      </c>
      <c r="E86">
        <v>7.5149839999999996E-2</v>
      </c>
      <c r="F86">
        <v>2.5466840000000001E-2</v>
      </c>
      <c r="G86">
        <v>1280.08</v>
      </c>
      <c r="H86">
        <v>17999559800</v>
      </c>
      <c r="I86">
        <v>6723</v>
      </c>
      <c r="J86">
        <v>17306418200</v>
      </c>
      <c r="K86">
        <v>6700</v>
      </c>
    </row>
    <row r="87" spans="1:11" x14ac:dyDescent="0.2">
      <c r="A87" s="5">
        <v>38776</v>
      </c>
      <c r="B87">
        <v>-1.6388280000000002E-3</v>
      </c>
      <c r="C87">
        <v>-3.5524390000000001E-3</v>
      </c>
      <c r="D87">
        <v>4.8364810000000001E-3</v>
      </c>
      <c r="E87">
        <v>3.4755480000000002E-3</v>
      </c>
      <c r="F87">
        <v>4.5309670000000002E-4</v>
      </c>
      <c r="G87">
        <v>1280.6600000000001</v>
      </c>
      <c r="H87">
        <v>17988632900</v>
      </c>
      <c r="I87">
        <v>6720</v>
      </c>
      <c r="J87">
        <v>17968663800</v>
      </c>
      <c r="K87">
        <v>6681</v>
      </c>
    </row>
    <row r="88" spans="1:11" x14ac:dyDescent="0.2">
      <c r="A88" s="5">
        <v>38807</v>
      </c>
      <c r="B88">
        <v>1.906455E-2</v>
      </c>
      <c r="C88">
        <v>1.759782E-2</v>
      </c>
      <c r="D88">
        <v>3.6978320000000002E-2</v>
      </c>
      <c r="E88">
        <v>3.5231989999999998E-2</v>
      </c>
      <c r="F88">
        <v>1.1064610000000001E-2</v>
      </c>
      <c r="G88">
        <v>1294.83</v>
      </c>
      <c r="H88">
        <v>18309607100</v>
      </c>
      <c r="I88">
        <v>6733</v>
      </c>
      <c r="J88">
        <v>17945445700</v>
      </c>
      <c r="K88">
        <v>6688</v>
      </c>
    </row>
    <row r="89" spans="1:11" x14ac:dyDescent="0.2">
      <c r="A89" s="5">
        <v>38835</v>
      </c>
      <c r="B89">
        <v>1.3000040000000001E-2</v>
      </c>
      <c r="C89">
        <v>1.15297E-2</v>
      </c>
      <c r="D89">
        <v>9.7912680000000005E-3</v>
      </c>
      <c r="E89">
        <v>8.4966020000000007E-3</v>
      </c>
      <c r="F89">
        <v>1.218693E-2</v>
      </c>
      <c r="G89">
        <v>1310.6099999999999</v>
      </c>
      <c r="H89">
        <v>18447495800</v>
      </c>
      <c r="I89">
        <v>6731</v>
      </c>
      <c r="J89">
        <v>18193856500</v>
      </c>
      <c r="K89">
        <v>6691</v>
      </c>
    </row>
    <row r="90" spans="1:11" x14ac:dyDescent="0.2">
      <c r="A90" s="5">
        <v>38868</v>
      </c>
      <c r="B90">
        <v>-3.1031969999999999E-2</v>
      </c>
      <c r="C90">
        <v>-3.3010480000000002E-2</v>
      </c>
      <c r="D90">
        <v>-4.4330630000000003E-2</v>
      </c>
      <c r="E90">
        <v>-4.598153E-2</v>
      </c>
      <c r="F90">
        <v>-3.0916900000000001E-2</v>
      </c>
      <c r="G90">
        <v>1270.0899999999999</v>
      </c>
      <c r="H90">
        <v>17856804400</v>
      </c>
      <c r="I90">
        <v>6741</v>
      </c>
      <c r="J90">
        <v>18388442600</v>
      </c>
      <c r="K90">
        <v>6687</v>
      </c>
    </row>
    <row r="91" spans="1:11" x14ac:dyDescent="0.2">
      <c r="A91" s="5">
        <v>38898</v>
      </c>
      <c r="B91">
        <v>-3.905499E-4</v>
      </c>
      <c r="C91">
        <v>-1.886871E-3</v>
      </c>
      <c r="D91">
        <v>-8.4786010000000005E-3</v>
      </c>
      <c r="E91">
        <v>-1.047413E-2</v>
      </c>
      <c r="F91">
        <v>8.6608039999999998E-5</v>
      </c>
      <c r="G91">
        <v>1270.2</v>
      </c>
      <c r="H91">
        <v>17830180800</v>
      </c>
      <c r="I91">
        <v>6795</v>
      </c>
      <c r="J91">
        <v>17816904600</v>
      </c>
      <c r="K91">
        <v>6709</v>
      </c>
    </row>
    <row r="92" spans="1:11" x14ac:dyDescent="0.2">
      <c r="A92" s="5">
        <v>38929</v>
      </c>
      <c r="B92">
        <v>-1.9115480000000001E-3</v>
      </c>
      <c r="C92">
        <v>-2.9548580000000003E-3</v>
      </c>
      <c r="D92">
        <v>-2.2697970000000001E-2</v>
      </c>
      <c r="E92">
        <v>-2.375159E-2</v>
      </c>
      <c r="F92">
        <v>5.0858130000000007E-3</v>
      </c>
      <c r="G92">
        <v>1276.6600000000001</v>
      </c>
      <c r="H92">
        <v>17766489300</v>
      </c>
      <c r="I92">
        <v>6786</v>
      </c>
      <c r="J92">
        <v>17806248100</v>
      </c>
      <c r="K92">
        <v>6753</v>
      </c>
    </row>
    <row r="93" spans="1:11" x14ac:dyDescent="0.2">
      <c r="A93" s="5">
        <v>38960</v>
      </c>
      <c r="B93">
        <v>2.5041460000000001E-2</v>
      </c>
      <c r="C93">
        <v>2.296836E-2</v>
      </c>
      <c r="D93">
        <v>2.5010830000000001E-2</v>
      </c>
      <c r="E93">
        <v>2.3562E-2</v>
      </c>
      <c r="F93">
        <v>2.127426E-2</v>
      </c>
      <c r="G93">
        <v>1303.82</v>
      </c>
      <c r="H93">
        <v>18104286800</v>
      </c>
      <c r="I93">
        <v>6787</v>
      </c>
      <c r="J93">
        <v>17712171900</v>
      </c>
      <c r="K93">
        <v>6759</v>
      </c>
    </row>
    <row r="94" spans="1:11" x14ac:dyDescent="0.2">
      <c r="A94" s="5">
        <v>38989</v>
      </c>
      <c r="B94">
        <v>1.942518E-2</v>
      </c>
      <c r="C94">
        <v>1.810966E-2</v>
      </c>
      <c r="D94">
        <v>9.0024930000000003E-3</v>
      </c>
      <c r="E94">
        <v>7.4334590000000008E-3</v>
      </c>
      <c r="F94">
        <v>2.4566270000000001E-2</v>
      </c>
      <c r="G94">
        <v>1335.85</v>
      </c>
      <c r="H94">
        <v>18424728400</v>
      </c>
      <c r="I94">
        <v>6813</v>
      </c>
      <c r="J94">
        <v>18095258700</v>
      </c>
      <c r="K94">
        <v>6757</v>
      </c>
    </row>
    <row r="95" spans="1:11" x14ac:dyDescent="0.2">
      <c r="A95" s="5">
        <v>39021</v>
      </c>
      <c r="B95">
        <v>3.715301E-2</v>
      </c>
      <c r="C95">
        <v>3.6107100000000003E-2</v>
      </c>
      <c r="D95">
        <v>4.6186339999999999E-2</v>
      </c>
      <c r="E95">
        <v>4.5160430000000001E-2</v>
      </c>
      <c r="F95">
        <v>3.1508029999999999E-2</v>
      </c>
      <c r="G95">
        <v>1377.94</v>
      </c>
      <c r="H95">
        <v>19076842400</v>
      </c>
      <c r="I95">
        <v>6831</v>
      </c>
      <c r="J95">
        <v>18363723200</v>
      </c>
      <c r="K95">
        <v>6761</v>
      </c>
    </row>
    <row r="96" spans="1:11" x14ac:dyDescent="0.2">
      <c r="A96" s="5">
        <v>39051</v>
      </c>
      <c r="B96">
        <v>2.3736480000000001E-2</v>
      </c>
      <c r="C96">
        <v>2.137383E-2</v>
      </c>
      <c r="D96">
        <v>3.116826E-2</v>
      </c>
      <c r="E96">
        <v>2.9504990000000002E-2</v>
      </c>
      <c r="F96">
        <v>1.646661E-2</v>
      </c>
      <c r="G96">
        <v>1400.63</v>
      </c>
      <c r="H96">
        <v>19461563000</v>
      </c>
      <c r="I96">
        <v>6843</v>
      </c>
      <c r="J96">
        <v>18977216000</v>
      </c>
      <c r="K96">
        <v>6777</v>
      </c>
    </row>
    <row r="97" spans="1:11" x14ac:dyDescent="0.2">
      <c r="A97" s="5">
        <v>39080</v>
      </c>
      <c r="B97">
        <v>1.0856920000000001E-2</v>
      </c>
      <c r="C97">
        <v>9.1537460000000008E-3</v>
      </c>
      <c r="D97">
        <v>1.479901E-2</v>
      </c>
      <c r="E97">
        <v>1.258374E-2</v>
      </c>
      <c r="F97">
        <v>1.261575E-2</v>
      </c>
      <c r="G97">
        <v>1418.3</v>
      </c>
      <c r="H97">
        <v>19619322200</v>
      </c>
      <c r="I97">
        <v>6852</v>
      </c>
      <c r="J97">
        <v>19398602600</v>
      </c>
      <c r="K97">
        <v>6794</v>
      </c>
    </row>
    <row r="98" spans="1:11" x14ac:dyDescent="0.2">
      <c r="A98" s="5">
        <v>39113</v>
      </c>
      <c r="B98">
        <v>1.9386799999999999E-2</v>
      </c>
      <c r="C98">
        <v>1.8452010000000001E-2</v>
      </c>
      <c r="D98">
        <v>2.2283170000000001E-2</v>
      </c>
      <c r="E98">
        <v>2.135664E-2</v>
      </c>
      <c r="F98">
        <v>1.405908E-2</v>
      </c>
      <c r="G98">
        <v>1438.24</v>
      </c>
      <c r="H98">
        <v>19944053500</v>
      </c>
      <c r="I98">
        <v>6851</v>
      </c>
      <c r="J98">
        <v>19488375100</v>
      </c>
      <c r="K98">
        <v>6791</v>
      </c>
    </row>
    <row r="99" spans="1:11" x14ac:dyDescent="0.2">
      <c r="A99" s="5">
        <v>39141</v>
      </c>
      <c r="B99">
        <v>-1.4006000000000001E-2</v>
      </c>
      <c r="C99">
        <v>-1.599629E-2</v>
      </c>
      <c r="D99">
        <v>2.111361E-3</v>
      </c>
      <c r="E99">
        <v>8.5709860000000003E-4</v>
      </c>
      <c r="F99">
        <v>-2.1846150000000002E-2</v>
      </c>
      <c r="G99">
        <v>1406.82</v>
      </c>
      <c r="H99">
        <v>19605264100</v>
      </c>
      <c r="I99">
        <v>6891</v>
      </c>
      <c r="J99">
        <v>19891453500</v>
      </c>
      <c r="K99">
        <v>6810</v>
      </c>
    </row>
    <row r="100" spans="1:11" x14ac:dyDescent="0.2">
      <c r="A100" s="5">
        <v>39171</v>
      </c>
      <c r="B100">
        <v>1.2953539999999999E-2</v>
      </c>
      <c r="C100">
        <v>1.147923E-2</v>
      </c>
      <c r="D100">
        <v>6.5449610000000002E-3</v>
      </c>
      <c r="E100">
        <v>4.8047710000000002E-3</v>
      </c>
      <c r="F100">
        <v>9.9799550000000004E-3</v>
      </c>
      <c r="G100">
        <v>1420.86</v>
      </c>
      <c r="H100">
        <v>19860575400</v>
      </c>
      <c r="I100">
        <v>6915</v>
      </c>
      <c r="J100">
        <v>19525945700</v>
      </c>
      <c r="K100">
        <v>6851</v>
      </c>
    </row>
    <row r="101" spans="1:11" x14ac:dyDescent="0.2">
      <c r="A101" s="5">
        <v>39202</v>
      </c>
      <c r="B101">
        <v>3.9833810000000004E-2</v>
      </c>
      <c r="C101">
        <v>3.8469500000000004E-2</v>
      </c>
      <c r="D101">
        <v>2.7048309999999999E-2</v>
      </c>
      <c r="E101">
        <v>2.577227E-2</v>
      </c>
      <c r="F101">
        <v>4.3290679999999998E-2</v>
      </c>
      <c r="G101">
        <v>1482.37</v>
      </c>
      <c r="H101">
        <v>20591732800</v>
      </c>
      <c r="I101">
        <v>6918</v>
      </c>
      <c r="J101">
        <v>19811716200</v>
      </c>
      <c r="K101">
        <v>6861</v>
      </c>
    </row>
    <row r="102" spans="1:11" x14ac:dyDescent="0.2">
      <c r="A102" s="5">
        <v>39233</v>
      </c>
      <c r="B102">
        <v>3.8953359999999999E-2</v>
      </c>
      <c r="C102">
        <v>3.6665879999999998E-2</v>
      </c>
      <c r="D102">
        <v>2.3122500000000001E-2</v>
      </c>
      <c r="E102">
        <v>2.136238E-2</v>
      </c>
      <c r="F102">
        <v>3.2549229999999998E-2</v>
      </c>
      <c r="G102">
        <v>1530.62</v>
      </c>
      <c r="H102">
        <v>21313415700</v>
      </c>
      <c r="I102">
        <v>6957</v>
      </c>
      <c r="J102">
        <v>20553170100</v>
      </c>
      <c r="K102">
        <v>6867</v>
      </c>
    </row>
    <row r="103" spans="1:11" x14ac:dyDescent="0.2">
      <c r="A103" s="5">
        <v>39262</v>
      </c>
      <c r="B103">
        <v>-1.4747E-2</v>
      </c>
      <c r="C103">
        <v>-1.611019E-2</v>
      </c>
      <c r="D103">
        <v>-7.9070000000000008E-3</v>
      </c>
      <c r="E103">
        <v>-9.8571250000000013E-3</v>
      </c>
      <c r="F103">
        <v>-1.7816310000000002E-2</v>
      </c>
      <c r="G103">
        <v>1503.35</v>
      </c>
      <c r="H103">
        <v>20948255300</v>
      </c>
      <c r="I103">
        <v>6960</v>
      </c>
      <c r="J103">
        <v>21270570000</v>
      </c>
      <c r="K103">
        <v>6890</v>
      </c>
    </row>
    <row r="104" spans="1:11" x14ac:dyDescent="0.2">
      <c r="A104" s="5">
        <v>39294</v>
      </c>
      <c r="B104">
        <v>-3.1789570000000003E-2</v>
      </c>
      <c r="C104">
        <v>-3.2792210000000002E-2</v>
      </c>
      <c r="D104">
        <v>-4.353717E-2</v>
      </c>
      <c r="E104">
        <v>-4.4641790000000001E-2</v>
      </c>
      <c r="F104">
        <v>-3.1981910000000002E-2</v>
      </c>
      <c r="G104">
        <v>1455.27</v>
      </c>
      <c r="H104">
        <v>20203332300</v>
      </c>
      <c r="I104">
        <v>6963</v>
      </c>
      <c r="J104">
        <v>20869276400</v>
      </c>
      <c r="K104">
        <v>6910</v>
      </c>
    </row>
    <row r="105" spans="1:11" x14ac:dyDescent="0.2">
      <c r="A105" s="5">
        <v>39325</v>
      </c>
      <c r="B105">
        <v>1.159279E-2</v>
      </c>
      <c r="C105">
        <v>9.6410760000000002E-3</v>
      </c>
      <c r="D105">
        <v>-1.17117E-2</v>
      </c>
      <c r="E105">
        <v>-1.3287470000000001E-2</v>
      </c>
      <c r="F105">
        <v>1.2863590000000001E-2</v>
      </c>
      <c r="G105">
        <v>1473.99</v>
      </c>
      <c r="H105">
        <v>20380196000</v>
      </c>
      <c r="I105">
        <v>6961</v>
      </c>
      <c r="J105">
        <v>20157485200</v>
      </c>
      <c r="K105">
        <v>6906</v>
      </c>
    </row>
    <row r="106" spans="1:11" x14ac:dyDescent="0.2">
      <c r="A106" s="5">
        <v>39353</v>
      </c>
      <c r="B106">
        <v>4.0822030000000002E-2</v>
      </c>
      <c r="C106">
        <v>3.9306439999999998E-2</v>
      </c>
      <c r="D106">
        <v>2.536414E-2</v>
      </c>
      <c r="E106">
        <v>2.366074E-2</v>
      </c>
      <c r="F106">
        <v>3.5793999999999999E-2</v>
      </c>
      <c r="G106">
        <v>1526.75</v>
      </c>
      <c r="H106">
        <v>21127714800</v>
      </c>
      <c r="I106">
        <v>6950</v>
      </c>
      <c r="J106">
        <v>20315620700</v>
      </c>
      <c r="K106">
        <v>6915</v>
      </c>
    </row>
    <row r="107" spans="1:11" x14ac:dyDescent="0.2">
      <c r="A107" s="5">
        <v>39386</v>
      </c>
      <c r="B107">
        <v>2.591044E-2</v>
      </c>
      <c r="C107">
        <v>2.476975E-2</v>
      </c>
      <c r="D107">
        <v>1.7405839999999999E-2</v>
      </c>
      <c r="E107">
        <v>1.6143620000000001E-2</v>
      </c>
      <c r="F107">
        <v>1.482233E-2</v>
      </c>
      <c r="G107">
        <v>1549.38</v>
      </c>
      <c r="H107">
        <v>21531420000</v>
      </c>
      <c r="I107">
        <v>6968</v>
      </c>
      <c r="J107">
        <v>20994621400</v>
      </c>
      <c r="K107">
        <v>6892</v>
      </c>
    </row>
    <row r="108" spans="1:11" x14ac:dyDescent="0.2">
      <c r="A108" s="5">
        <v>39416</v>
      </c>
      <c r="B108">
        <v>-4.9361849999999999E-2</v>
      </c>
      <c r="C108">
        <v>-5.1309029999999999E-2</v>
      </c>
      <c r="D108">
        <v>-7.6620969999999997E-2</v>
      </c>
      <c r="E108">
        <v>-7.8122549999999999E-2</v>
      </c>
      <c r="F108">
        <v>-4.4043430000000001E-2</v>
      </c>
      <c r="G108">
        <v>1481.14</v>
      </c>
      <c r="H108">
        <v>20313135400</v>
      </c>
      <c r="I108">
        <v>6987</v>
      </c>
      <c r="J108">
        <v>21397969200</v>
      </c>
      <c r="K108">
        <v>6916</v>
      </c>
    </row>
    <row r="109" spans="1:11" x14ac:dyDescent="0.2">
      <c r="A109" s="5">
        <v>39447</v>
      </c>
      <c r="B109">
        <v>-4.4051970000000005E-3</v>
      </c>
      <c r="C109">
        <v>-6.4928620000000003E-3</v>
      </c>
      <c r="D109">
        <v>-1.101832E-2</v>
      </c>
      <c r="E109">
        <v>-1.4312140000000001E-2</v>
      </c>
      <c r="F109">
        <v>-8.6284890000000013E-3</v>
      </c>
      <c r="G109">
        <v>1468.36</v>
      </c>
      <c r="H109">
        <v>20221929400</v>
      </c>
      <c r="I109">
        <v>7002</v>
      </c>
      <c r="J109">
        <v>20269481400</v>
      </c>
      <c r="K109">
        <v>6937</v>
      </c>
    </row>
    <row r="110" spans="1:11" x14ac:dyDescent="0.2">
      <c r="A110" s="5">
        <v>39478</v>
      </c>
      <c r="B110">
        <v>-6.2217720000000004E-2</v>
      </c>
      <c r="C110">
        <v>-6.3321390000000005E-2</v>
      </c>
      <c r="D110">
        <v>-4.5066439999999999E-2</v>
      </c>
      <c r="E110">
        <v>-4.616021E-2</v>
      </c>
      <c r="F110">
        <v>-6.1163470000000005E-2</v>
      </c>
      <c r="G110">
        <v>1378.55</v>
      </c>
      <c r="H110">
        <v>18903060500</v>
      </c>
      <c r="I110">
        <v>7003</v>
      </c>
      <c r="J110">
        <v>20179798800</v>
      </c>
      <c r="K110">
        <v>6971</v>
      </c>
    </row>
    <row r="111" spans="1:11" x14ac:dyDescent="0.2">
      <c r="A111" s="5">
        <v>39507</v>
      </c>
      <c r="B111">
        <v>-2.1696880000000002E-2</v>
      </c>
      <c r="C111">
        <v>-2.3635690000000001E-2</v>
      </c>
      <c r="D111">
        <v>-2.140071E-2</v>
      </c>
      <c r="E111">
        <v>-2.2915959999999999E-2</v>
      </c>
      <c r="F111">
        <v>-3.4761159999999999E-2</v>
      </c>
      <c r="G111">
        <v>1330.63</v>
      </c>
      <c r="H111">
        <v>18381043000</v>
      </c>
      <c r="I111">
        <v>6983</v>
      </c>
      <c r="J111">
        <v>18875502500</v>
      </c>
      <c r="K111">
        <v>6949</v>
      </c>
    </row>
    <row r="112" spans="1:11" x14ac:dyDescent="0.2">
      <c r="A112" s="5">
        <v>39538</v>
      </c>
      <c r="B112">
        <v>-1.044433E-2</v>
      </c>
      <c r="C112">
        <v>-1.2186280000000001E-2</v>
      </c>
      <c r="D112">
        <v>-2.5309109999999999E-2</v>
      </c>
      <c r="E112">
        <v>-2.7566810000000001E-2</v>
      </c>
      <c r="F112">
        <v>-5.9595830000000001E-3</v>
      </c>
      <c r="G112">
        <v>1322.7</v>
      </c>
      <c r="H112">
        <v>18186717200</v>
      </c>
      <c r="I112">
        <v>6958</v>
      </c>
      <c r="J112">
        <v>18358711300</v>
      </c>
      <c r="K112">
        <v>6931</v>
      </c>
    </row>
    <row r="113" spans="1:11" x14ac:dyDescent="0.2">
      <c r="A113" s="5">
        <v>39568</v>
      </c>
      <c r="B113">
        <v>5.1198920000000002E-2</v>
      </c>
      <c r="C113">
        <v>4.9875790000000003E-2</v>
      </c>
      <c r="D113">
        <v>3.1906759999999999E-2</v>
      </c>
      <c r="E113">
        <v>3.049004E-2</v>
      </c>
      <c r="F113">
        <v>4.7546680000000001E-2</v>
      </c>
      <c r="G113">
        <v>1385.59</v>
      </c>
      <c r="H113">
        <v>19069937900</v>
      </c>
      <c r="I113">
        <v>6953</v>
      </c>
      <c r="J113">
        <v>18161208300</v>
      </c>
      <c r="K113">
        <v>6916</v>
      </c>
    </row>
    <row r="114" spans="1:11" x14ac:dyDescent="0.2">
      <c r="A114" s="5">
        <v>39598</v>
      </c>
      <c r="B114">
        <v>2.3934770000000001E-2</v>
      </c>
      <c r="C114">
        <v>2.1620690000000001E-2</v>
      </c>
      <c r="D114">
        <v>3.1787009999999997E-2</v>
      </c>
      <c r="E114">
        <v>2.977374E-2</v>
      </c>
      <c r="F114">
        <v>1.067415E-2</v>
      </c>
      <c r="G114">
        <v>1400.38</v>
      </c>
      <c r="H114">
        <v>19466784200</v>
      </c>
      <c r="I114">
        <v>6953</v>
      </c>
      <c r="J114">
        <v>19050553100</v>
      </c>
      <c r="K114">
        <v>6908</v>
      </c>
    </row>
    <row r="115" spans="1:11" x14ac:dyDescent="0.2">
      <c r="A115" s="5">
        <v>39629</v>
      </c>
      <c r="B115">
        <v>-7.8435779999999997E-2</v>
      </c>
      <c r="C115">
        <v>-8.0248590000000009E-2</v>
      </c>
      <c r="D115">
        <v>-8.659182E-2</v>
      </c>
      <c r="E115">
        <v>-8.8705729999999997E-2</v>
      </c>
      <c r="F115">
        <v>-8.5962380000000005E-2</v>
      </c>
      <c r="G115">
        <v>1280</v>
      </c>
      <c r="H115">
        <v>17930444800</v>
      </c>
      <c r="I115">
        <v>6955</v>
      </c>
      <c r="J115">
        <v>19438533500</v>
      </c>
      <c r="K115">
        <v>6916</v>
      </c>
    </row>
    <row r="116" spans="1:11" x14ac:dyDescent="0.2">
      <c r="A116" s="5">
        <v>39660</v>
      </c>
      <c r="B116">
        <v>-1.3412810000000001E-2</v>
      </c>
      <c r="C116">
        <v>-1.4759410000000001E-2</v>
      </c>
      <c r="D116">
        <v>-1.2947340000000001E-3</v>
      </c>
      <c r="E116">
        <v>-2.6570680000000003E-3</v>
      </c>
      <c r="F116">
        <v>-9.8593750000000001E-3</v>
      </c>
      <c r="G116">
        <v>1267.3800000000001</v>
      </c>
      <c r="H116">
        <v>17667658700</v>
      </c>
      <c r="I116">
        <v>6939</v>
      </c>
      <c r="J116">
        <v>17890643000</v>
      </c>
      <c r="K116">
        <v>6903</v>
      </c>
    </row>
    <row r="117" spans="1:11" x14ac:dyDescent="0.2">
      <c r="A117" s="5">
        <v>39689</v>
      </c>
      <c r="B117">
        <v>1.059704E-2</v>
      </c>
      <c r="C117">
        <v>8.6080449999999999E-3</v>
      </c>
      <c r="D117">
        <v>1.3023390000000001E-2</v>
      </c>
      <c r="E117">
        <v>1.112203E-2</v>
      </c>
      <c r="F117">
        <v>1.21905E-2</v>
      </c>
      <c r="G117">
        <v>1282.83</v>
      </c>
      <c r="H117">
        <v>17817627900</v>
      </c>
      <c r="I117">
        <v>6916</v>
      </c>
      <c r="J117">
        <v>17635227000</v>
      </c>
      <c r="K117">
        <v>6899</v>
      </c>
    </row>
    <row r="118" spans="1:11" x14ac:dyDescent="0.2">
      <c r="A118" s="5">
        <v>39721</v>
      </c>
      <c r="B118">
        <v>-9.8171640000000004E-2</v>
      </c>
      <c r="C118">
        <v>-9.9958669999999999E-2</v>
      </c>
      <c r="D118">
        <v>-0.12011229999999999</v>
      </c>
      <c r="E118">
        <v>-0.12220789999999999</v>
      </c>
      <c r="F118">
        <v>-9.0791460000000004E-2</v>
      </c>
      <c r="G118">
        <v>1166.3599999999999</v>
      </c>
      <c r="H118">
        <v>16077006900</v>
      </c>
      <c r="I118">
        <v>6879</v>
      </c>
      <c r="J118">
        <v>17776416600</v>
      </c>
      <c r="K118">
        <v>6856</v>
      </c>
    </row>
    <row r="119" spans="1:11" x14ac:dyDescent="0.2">
      <c r="A119" s="5">
        <v>39752</v>
      </c>
      <c r="B119">
        <v>-0.18483329999999998</v>
      </c>
      <c r="C119">
        <v>-0.18631909999999999</v>
      </c>
      <c r="D119">
        <v>-0.20522199999999999</v>
      </c>
      <c r="E119">
        <v>-0.2068345</v>
      </c>
      <c r="F119">
        <v>-0.16942450000000001</v>
      </c>
      <c r="G119">
        <v>968.75</v>
      </c>
      <c r="H119">
        <v>13038974400</v>
      </c>
      <c r="I119">
        <v>6835</v>
      </c>
      <c r="J119">
        <v>16030362100</v>
      </c>
      <c r="K119">
        <v>6824</v>
      </c>
    </row>
    <row r="120" spans="1:11" x14ac:dyDescent="0.2">
      <c r="A120" s="5">
        <v>39780</v>
      </c>
      <c r="B120">
        <v>-8.4680829999999999E-2</v>
      </c>
      <c r="C120">
        <v>-8.7420150000000002E-2</v>
      </c>
      <c r="D120">
        <v>-0.13032089999999999</v>
      </c>
      <c r="E120">
        <v>-0.1325906</v>
      </c>
      <c r="F120">
        <v>-7.4849029999999997E-2</v>
      </c>
      <c r="G120">
        <v>896.24</v>
      </c>
      <c r="H120">
        <v>11872551200</v>
      </c>
      <c r="I120">
        <v>6828</v>
      </c>
      <c r="J120">
        <v>12964843300</v>
      </c>
      <c r="K120">
        <v>6787</v>
      </c>
    </row>
    <row r="121" spans="1:11" x14ac:dyDescent="0.2">
      <c r="A121" s="5">
        <v>39813</v>
      </c>
      <c r="B121">
        <v>2.223232E-2</v>
      </c>
      <c r="C121">
        <v>1.9165669999999999E-2</v>
      </c>
      <c r="D121">
        <v>4.2175810000000001E-2</v>
      </c>
      <c r="E121">
        <v>3.702445E-2</v>
      </c>
      <c r="F121">
        <v>7.8215650000000008E-3</v>
      </c>
      <c r="G121">
        <v>903.25</v>
      </c>
      <c r="H121">
        <v>12141691400</v>
      </c>
      <c r="I121">
        <v>6789</v>
      </c>
      <c r="J121">
        <v>11848103700</v>
      </c>
      <c r="K121">
        <v>6771</v>
      </c>
    </row>
    <row r="122" spans="1:11" x14ac:dyDescent="0.2">
      <c r="A122" s="5">
        <v>39843</v>
      </c>
      <c r="B122">
        <v>-7.7470659999999997E-2</v>
      </c>
      <c r="C122">
        <v>-7.8862700000000008E-2</v>
      </c>
      <c r="D122">
        <v>-2.4042350000000001E-2</v>
      </c>
      <c r="E122">
        <v>-2.5383570000000001E-2</v>
      </c>
      <c r="F122">
        <v>-8.5657350000000007E-2</v>
      </c>
      <c r="G122">
        <v>825.88</v>
      </c>
      <c r="H122">
        <v>11173591700</v>
      </c>
      <c r="I122">
        <v>6757</v>
      </c>
      <c r="J122">
        <v>12089620300</v>
      </c>
      <c r="K122">
        <v>6743</v>
      </c>
    </row>
    <row r="123" spans="1:11" x14ac:dyDescent="0.2">
      <c r="A123" s="5">
        <v>39871</v>
      </c>
      <c r="B123">
        <v>-0.1001658</v>
      </c>
      <c r="C123">
        <v>-0.10335279999999999</v>
      </c>
      <c r="D123">
        <v>-0.1076061</v>
      </c>
      <c r="E123">
        <v>-0.10970809999999999</v>
      </c>
      <c r="F123">
        <v>-0.10993119999999999</v>
      </c>
      <c r="G123">
        <v>735.09</v>
      </c>
      <c r="H123">
        <v>9985857770</v>
      </c>
      <c r="I123">
        <v>6710</v>
      </c>
      <c r="J123">
        <v>11165768800</v>
      </c>
      <c r="K123">
        <v>6698</v>
      </c>
    </row>
    <row r="124" spans="1:11" x14ac:dyDescent="0.2">
      <c r="A124" s="5">
        <v>39903</v>
      </c>
      <c r="B124">
        <v>8.6803370000000005E-2</v>
      </c>
      <c r="C124">
        <v>8.3548159999999996E-2</v>
      </c>
      <c r="D124">
        <v>0.10747429999999999</v>
      </c>
      <c r="E124">
        <v>0.10439089999999999</v>
      </c>
      <c r="F124">
        <v>8.5404510000000003E-2</v>
      </c>
      <c r="G124">
        <v>797.87</v>
      </c>
      <c r="H124">
        <v>10734182800</v>
      </c>
      <c r="I124">
        <v>6665</v>
      </c>
      <c r="J124">
        <v>9893486540</v>
      </c>
      <c r="K124">
        <v>6658</v>
      </c>
    </row>
    <row r="125" spans="1:11" x14ac:dyDescent="0.2">
      <c r="A125" s="5">
        <v>39933</v>
      </c>
      <c r="B125">
        <v>0.10946629999999999</v>
      </c>
      <c r="C125">
        <v>0.10763199999999999</v>
      </c>
      <c r="D125">
        <v>0.19276179999999998</v>
      </c>
      <c r="E125">
        <v>0.1909286</v>
      </c>
      <c r="F125">
        <v>9.3925069999999999E-2</v>
      </c>
      <c r="G125">
        <v>872.81</v>
      </c>
      <c r="H125">
        <v>11900168200</v>
      </c>
      <c r="I125">
        <v>6635</v>
      </c>
      <c r="J125">
        <v>10714958500</v>
      </c>
      <c r="K125">
        <v>6617</v>
      </c>
    </row>
    <row r="126" spans="1:11" x14ac:dyDescent="0.2">
      <c r="A126" s="5">
        <v>39962</v>
      </c>
      <c r="B126">
        <v>6.7786780000000005E-2</v>
      </c>
      <c r="C126">
        <v>6.5136540000000007E-2</v>
      </c>
      <c r="D126">
        <v>0.10232949999999999</v>
      </c>
      <c r="E126">
        <v>0.10020999999999999</v>
      </c>
      <c r="F126">
        <v>5.3081429999999999E-2</v>
      </c>
      <c r="G126">
        <v>919.14</v>
      </c>
      <c r="H126">
        <v>12747112200</v>
      </c>
      <c r="I126">
        <v>6598</v>
      </c>
      <c r="J126">
        <v>11899368900</v>
      </c>
      <c r="K126">
        <v>6585</v>
      </c>
    </row>
    <row r="127" spans="1:11" x14ac:dyDescent="0.2">
      <c r="A127" s="5">
        <v>39994</v>
      </c>
      <c r="B127">
        <v>-3.018878E-3</v>
      </c>
      <c r="C127">
        <v>-4.9616360000000002E-3</v>
      </c>
      <c r="D127">
        <v>2.392118E-2</v>
      </c>
      <c r="E127">
        <v>2.1351760000000001E-2</v>
      </c>
      <c r="F127">
        <v>1.9583520000000001E-4</v>
      </c>
      <c r="G127">
        <v>919.32</v>
      </c>
      <c r="H127">
        <v>12746070400</v>
      </c>
      <c r="I127">
        <v>6575</v>
      </c>
      <c r="J127">
        <v>12741972700</v>
      </c>
      <c r="K127">
        <v>6545</v>
      </c>
    </row>
    <row r="128" spans="1:11" x14ac:dyDescent="0.2">
      <c r="A128" s="5">
        <v>40025</v>
      </c>
      <c r="B128">
        <v>8.1779439999999995E-2</v>
      </c>
      <c r="C128">
        <v>8.0360330000000008E-2</v>
      </c>
      <c r="D128">
        <v>8.5216920000000002E-2</v>
      </c>
      <c r="E128">
        <v>8.3763320000000002E-2</v>
      </c>
      <c r="F128">
        <v>7.4141760000000001E-2</v>
      </c>
      <c r="G128">
        <v>987.48</v>
      </c>
      <c r="H128">
        <v>13798187500</v>
      </c>
      <c r="I128">
        <v>6563</v>
      </c>
      <c r="J128">
        <v>12733295400</v>
      </c>
      <c r="K128">
        <v>6540</v>
      </c>
    </row>
    <row r="129" spans="1:11" x14ac:dyDescent="0.2">
      <c r="A129" s="5">
        <v>40056</v>
      </c>
      <c r="B129">
        <v>3.1510219999999999E-2</v>
      </c>
      <c r="C129">
        <v>2.9351240000000001E-2</v>
      </c>
      <c r="D129">
        <v>5.6863940000000002E-2</v>
      </c>
      <c r="E129">
        <v>5.5309520000000001E-2</v>
      </c>
      <c r="F129">
        <v>3.356017E-2</v>
      </c>
      <c r="G129">
        <v>1020.62</v>
      </c>
      <c r="H129">
        <v>14273510400</v>
      </c>
      <c r="I129">
        <v>6544</v>
      </c>
      <c r="J129">
        <v>13773735100</v>
      </c>
      <c r="K129">
        <v>6527</v>
      </c>
    </row>
    <row r="130" spans="1:11" x14ac:dyDescent="0.2">
      <c r="A130" s="5">
        <v>40086</v>
      </c>
      <c r="B130">
        <v>4.5280849999999997E-2</v>
      </c>
      <c r="C130">
        <v>4.3642960000000001E-2</v>
      </c>
      <c r="D130">
        <v>7.1254659999999997E-2</v>
      </c>
      <c r="E130">
        <v>6.9382750000000007E-2</v>
      </c>
      <c r="F130">
        <v>3.5723379999999999E-2</v>
      </c>
      <c r="G130">
        <v>1057.08</v>
      </c>
      <c r="H130">
        <v>14998826000</v>
      </c>
      <c r="I130">
        <v>6551</v>
      </c>
      <c r="J130">
        <v>14264086500</v>
      </c>
      <c r="K130">
        <v>6514</v>
      </c>
    </row>
    <row r="131" spans="1:11" x14ac:dyDescent="0.2">
      <c r="A131" s="5">
        <v>40116</v>
      </c>
      <c r="B131">
        <v>-2.8071600000000002E-2</v>
      </c>
      <c r="C131">
        <v>-2.9326430000000001E-2</v>
      </c>
      <c r="D131">
        <v>-5.0611549999999998E-2</v>
      </c>
      <c r="E131">
        <v>-5.1739300000000002E-2</v>
      </c>
      <c r="F131">
        <v>-1.976199E-2</v>
      </c>
      <c r="G131">
        <v>1036.19</v>
      </c>
      <c r="H131">
        <v>14537672900</v>
      </c>
      <c r="I131">
        <v>6550</v>
      </c>
      <c r="J131">
        <v>14911500200</v>
      </c>
      <c r="K131">
        <v>6508</v>
      </c>
    </row>
    <row r="132" spans="1:11" x14ac:dyDescent="0.2">
      <c r="A132" s="5">
        <v>40147</v>
      </c>
      <c r="B132">
        <v>5.7074550000000002E-2</v>
      </c>
      <c r="C132">
        <v>5.4618949999999999E-2</v>
      </c>
      <c r="D132">
        <v>2.8475900000000002E-2</v>
      </c>
      <c r="E132">
        <v>2.64853E-2</v>
      </c>
      <c r="F132">
        <v>5.7363999999999998E-2</v>
      </c>
      <c r="G132">
        <v>1095.6300000000001</v>
      </c>
      <c r="H132">
        <v>15347895900</v>
      </c>
      <c r="I132">
        <v>6561</v>
      </c>
      <c r="J132">
        <v>14467057100</v>
      </c>
      <c r="K132">
        <v>6507</v>
      </c>
    </row>
    <row r="133" spans="1:11" x14ac:dyDescent="0.2">
      <c r="A133" s="5">
        <v>40178</v>
      </c>
      <c r="B133">
        <v>2.8474869999999999E-2</v>
      </c>
      <c r="C133">
        <v>2.644883E-2</v>
      </c>
      <c r="D133">
        <v>5.5001250000000002E-2</v>
      </c>
      <c r="E133">
        <v>5.1972280000000003E-2</v>
      </c>
      <c r="F133">
        <v>1.7770600000000001E-2</v>
      </c>
      <c r="G133">
        <v>1115.0999999999999</v>
      </c>
      <c r="H133">
        <v>15825927000</v>
      </c>
      <c r="I133">
        <v>6558</v>
      </c>
      <c r="J133">
        <v>15324259800</v>
      </c>
      <c r="K133">
        <v>6510</v>
      </c>
    </row>
    <row r="134" spans="1:11" x14ac:dyDescent="0.2">
      <c r="A134" s="5">
        <v>40207</v>
      </c>
      <c r="B134">
        <v>-3.7171940000000001E-2</v>
      </c>
      <c r="C134">
        <v>-3.818378E-2</v>
      </c>
      <c r="D134">
        <v>-1.138809E-2</v>
      </c>
      <c r="E134">
        <v>-1.229153E-2</v>
      </c>
      <c r="F134">
        <v>-3.6974260000000002E-2</v>
      </c>
      <c r="G134">
        <v>1073.8699999999999</v>
      </c>
      <c r="H134">
        <v>15216588000</v>
      </c>
      <c r="I134">
        <v>6566</v>
      </c>
      <c r="J134">
        <v>15806846000</v>
      </c>
      <c r="K134">
        <v>6525</v>
      </c>
    </row>
    <row r="135" spans="1:11" x14ac:dyDescent="0.2">
      <c r="A135" s="5">
        <v>40235</v>
      </c>
      <c r="B135">
        <v>3.4743690000000001E-2</v>
      </c>
      <c r="C135">
        <v>3.2657159999999998E-2</v>
      </c>
      <c r="D135">
        <v>3.3603330000000001E-2</v>
      </c>
      <c r="E135">
        <v>3.2232379999999998E-2</v>
      </c>
      <c r="F135">
        <v>2.8513690000000001E-2</v>
      </c>
      <c r="G135">
        <v>1104.49</v>
      </c>
      <c r="H135">
        <v>15717328300</v>
      </c>
      <c r="I135">
        <v>6564</v>
      </c>
      <c r="J135">
        <v>15169629400</v>
      </c>
      <c r="K135">
        <v>6528</v>
      </c>
    </row>
    <row r="136" spans="1:11" x14ac:dyDescent="0.2">
      <c r="A136" s="5">
        <v>40268</v>
      </c>
      <c r="B136">
        <v>6.3668020000000006E-2</v>
      </c>
      <c r="C136">
        <v>6.1984520000000001E-2</v>
      </c>
      <c r="D136">
        <v>6.9289210000000004E-2</v>
      </c>
      <c r="E136">
        <v>6.7252069999999997E-2</v>
      </c>
      <c r="F136">
        <v>5.8796370000000001E-2</v>
      </c>
      <c r="G136">
        <v>1169.43</v>
      </c>
      <c r="H136">
        <v>16761940300</v>
      </c>
      <c r="I136">
        <v>6557</v>
      </c>
      <c r="J136">
        <v>15692016200</v>
      </c>
      <c r="K136">
        <v>6517</v>
      </c>
    </row>
    <row r="137" spans="1:11" x14ac:dyDescent="0.2">
      <c r="A137" s="5">
        <v>40298</v>
      </c>
      <c r="B137">
        <v>2.003624E-2</v>
      </c>
      <c r="C137">
        <v>1.892433E-2</v>
      </c>
      <c r="D137">
        <v>5.7843499999999999E-2</v>
      </c>
      <c r="E137">
        <v>5.6697980000000002E-2</v>
      </c>
      <c r="F137">
        <v>1.4759330000000001E-2</v>
      </c>
      <c r="G137">
        <v>1186.69</v>
      </c>
      <c r="H137">
        <v>17099184300</v>
      </c>
      <c r="I137">
        <v>6582</v>
      </c>
      <c r="J137">
        <v>16742748100</v>
      </c>
      <c r="K137">
        <v>6528</v>
      </c>
    </row>
    <row r="138" spans="1:11" x14ac:dyDescent="0.2">
      <c r="A138" s="5">
        <v>40326</v>
      </c>
      <c r="B138">
        <v>-7.9239760000000006E-2</v>
      </c>
      <c r="C138">
        <v>-8.1327980000000008E-2</v>
      </c>
      <c r="D138">
        <v>-7.6929070000000002E-2</v>
      </c>
      <c r="E138">
        <v>-7.8434970000000007E-2</v>
      </c>
      <c r="F138">
        <v>-8.1975909999999999E-2</v>
      </c>
      <c r="G138">
        <v>1089.4100000000001</v>
      </c>
      <c r="H138">
        <v>15725380100</v>
      </c>
      <c r="I138">
        <v>6574</v>
      </c>
      <c r="J138">
        <v>17091957700</v>
      </c>
      <c r="K138">
        <v>6541</v>
      </c>
    </row>
    <row r="139" spans="1:11" x14ac:dyDescent="0.2">
      <c r="A139" s="5">
        <v>40359</v>
      </c>
      <c r="B139">
        <v>-5.0779620000000004E-2</v>
      </c>
      <c r="C139">
        <v>-5.2519650000000001E-2</v>
      </c>
      <c r="D139">
        <v>-5.679911E-2</v>
      </c>
      <c r="E139">
        <v>-5.8868009999999998E-2</v>
      </c>
      <c r="F139">
        <v>-5.3882380000000001E-2</v>
      </c>
      <c r="G139">
        <v>1030.71</v>
      </c>
      <c r="H139">
        <v>14872527600</v>
      </c>
      <c r="I139">
        <v>6588</v>
      </c>
      <c r="J139">
        <v>15632778200</v>
      </c>
      <c r="K139">
        <v>6537</v>
      </c>
    </row>
    <row r="140" spans="1:11" x14ac:dyDescent="0.2">
      <c r="A140" s="5">
        <v>40389</v>
      </c>
      <c r="B140">
        <v>7.0360000000000006E-2</v>
      </c>
      <c r="C140">
        <v>6.8664050000000004E-2</v>
      </c>
      <c r="D140">
        <v>5.9940449999999999E-2</v>
      </c>
      <c r="E140">
        <v>5.868226E-2</v>
      </c>
      <c r="F140">
        <v>6.8777829999999998E-2</v>
      </c>
      <c r="G140">
        <v>1101.5999999999999</v>
      </c>
      <c r="H140">
        <v>15884757300</v>
      </c>
      <c r="I140">
        <v>6588</v>
      </c>
      <c r="J140">
        <v>14842670400</v>
      </c>
      <c r="K140">
        <v>6538</v>
      </c>
    </row>
    <row r="141" spans="1:11" x14ac:dyDescent="0.2">
      <c r="A141" s="5">
        <v>40421</v>
      </c>
      <c r="B141">
        <v>-4.2863369999999998E-2</v>
      </c>
      <c r="C141">
        <v>-4.4989000000000001E-2</v>
      </c>
      <c r="D141">
        <v>-4.7566049999999999E-2</v>
      </c>
      <c r="E141">
        <v>-4.9083349999999998E-2</v>
      </c>
      <c r="F141">
        <v>-4.7449160000000004E-2</v>
      </c>
      <c r="G141">
        <v>1049.33</v>
      </c>
      <c r="H141">
        <v>15161037200</v>
      </c>
      <c r="I141">
        <v>6586</v>
      </c>
      <c r="J141">
        <v>15859993900</v>
      </c>
      <c r="K141">
        <v>6556</v>
      </c>
    </row>
    <row r="142" spans="1:11" x14ac:dyDescent="0.2">
      <c r="A142" s="5">
        <v>40451</v>
      </c>
      <c r="B142">
        <v>9.162758E-2</v>
      </c>
      <c r="C142">
        <v>8.9747350000000004E-2</v>
      </c>
      <c r="D142">
        <v>9.6401559999999997E-2</v>
      </c>
      <c r="E142">
        <v>9.4484670000000007E-2</v>
      </c>
      <c r="F142">
        <v>8.7551100000000007E-2</v>
      </c>
      <c r="G142">
        <v>1141.2</v>
      </c>
      <c r="H142">
        <v>16540780700</v>
      </c>
      <c r="I142">
        <v>6596</v>
      </c>
      <c r="J142">
        <v>15151624000</v>
      </c>
      <c r="K142">
        <v>6554</v>
      </c>
    </row>
    <row r="143" spans="1:11" x14ac:dyDescent="0.2">
      <c r="A143" s="5">
        <v>40480</v>
      </c>
      <c r="B143">
        <v>3.8591359999999998E-2</v>
      </c>
      <c r="C143">
        <v>3.7071119999999999E-2</v>
      </c>
      <c r="D143">
        <v>4.0681189999999999E-2</v>
      </c>
      <c r="E143">
        <v>3.9487849999999998E-2</v>
      </c>
      <c r="F143">
        <v>3.6855940000000004E-2</v>
      </c>
      <c r="G143">
        <v>1183.26</v>
      </c>
      <c r="H143">
        <v>17187976900</v>
      </c>
      <c r="I143">
        <v>6592</v>
      </c>
      <c r="J143">
        <v>16512337100</v>
      </c>
      <c r="K143">
        <v>6558</v>
      </c>
    </row>
    <row r="144" spans="1:11" x14ac:dyDescent="0.2">
      <c r="A144" s="5">
        <v>40512</v>
      </c>
      <c r="B144">
        <v>5.1166440000000001E-3</v>
      </c>
      <c r="C144">
        <v>2.9172290000000003E-3</v>
      </c>
      <c r="D144">
        <v>1.0735950000000001E-2</v>
      </c>
      <c r="E144">
        <v>8.971995E-3</v>
      </c>
      <c r="F144">
        <v>-2.2902830000000002E-3</v>
      </c>
      <c r="G144">
        <v>1180.55</v>
      </c>
      <c r="H144">
        <v>17360347300</v>
      </c>
      <c r="I144">
        <v>6600</v>
      </c>
      <c r="J144">
        <v>17157750800</v>
      </c>
      <c r="K144">
        <v>6557</v>
      </c>
    </row>
    <row r="145" spans="1:11" x14ac:dyDescent="0.2">
      <c r="A145" s="5">
        <v>40543</v>
      </c>
      <c r="B145">
        <v>6.7181740000000004E-2</v>
      </c>
      <c r="C145">
        <v>6.4850169999999999E-2</v>
      </c>
      <c r="D145">
        <v>6.8851019999999999E-2</v>
      </c>
      <c r="E145">
        <v>6.5468709999999999E-2</v>
      </c>
      <c r="F145">
        <v>6.5300070000000002E-2</v>
      </c>
      <c r="G145">
        <v>1257.6400000000001</v>
      </c>
      <c r="H145">
        <v>18516131100</v>
      </c>
      <c r="I145">
        <v>6596</v>
      </c>
      <c r="J145">
        <v>17339253200</v>
      </c>
      <c r="K145">
        <v>6543</v>
      </c>
    </row>
    <row r="146" spans="1:11" x14ac:dyDescent="0.2">
      <c r="A146" s="5">
        <v>40574</v>
      </c>
      <c r="B146">
        <v>1.918334E-2</v>
      </c>
      <c r="C146">
        <v>1.8230630000000001E-2</v>
      </c>
      <c r="D146">
        <v>1.4411750000000001E-2</v>
      </c>
      <c r="E146">
        <v>1.3611170000000001E-2</v>
      </c>
      <c r="F146">
        <v>2.264559E-2</v>
      </c>
      <c r="G146">
        <v>1286.1199999999999</v>
      </c>
      <c r="H146">
        <v>18936990300</v>
      </c>
      <c r="I146">
        <v>6614</v>
      </c>
      <c r="J146">
        <v>18504884500</v>
      </c>
      <c r="K146">
        <v>6570</v>
      </c>
    </row>
    <row r="147" spans="1:11" x14ac:dyDescent="0.2">
      <c r="A147" s="5">
        <v>40602</v>
      </c>
      <c r="B147">
        <v>3.8155519999999998E-2</v>
      </c>
      <c r="C147">
        <v>3.6223169999999999E-2</v>
      </c>
      <c r="D147">
        <v>3.7036190000000004E-2</v>
      </c>
      <c r="E147">
        <v>3.5725050000000001E-2</v>
      </c>
      <c r="F147">
        <v>3.1956579999999998E-2</v>
      </c>
      <c r="G147">
        <v>1327.22</v>
      </c>
      <c r="H147">
        <v>19627887100</v>
      </c>
      <c r="I147">
        <v>6631</v>
      </c>
      <c r="J147">
        <v>18922434200</v>
      </c>
      <c r="K147">
        <v>6590</v>
      </c>
    </row>
    <row r="148" spans="1:11" x14ac:dyDescent="0.2">
      <c r="A148" s="5">
        <v>40633</v>
      </c>
      <c r="B148">
        <v>3.3408380000000001E-3</v>
      </c>
      <c r="C148">
        <v>1.7576620000000001E-3</v>
      </c>
      <c r="D148">
        <v>8.6048340000000004E-3</v>
      </c>
      <c r="E148">
        <v>6.7855180000000008E-3</v>
      </c>
      <c r="F148">
        <v>-1.0473020000000002E-3</v>
      </c>
      <c r="G148">
        <v>1325.83</v>
      </c>
      <c r="H148">
        <v>19703177200</v>
      </c>
      <c r="I148">
        <v>6638</v>
      </c>
      <c r="J148">
        <v>19603826700</v>
      </c>
      <c r="K148">
        <v>6593</v>
      </c>
    </row>
    <row r="149" spans="1:11" x14ac:dyDescent="0.2">
      <c r="A149" s="5">
        <v>40662</v>
      </c>
      <c r="B149">
        <v>2.859679E-2</v>
      </c>
      <c r="C149">
        <v>2.7483150000000001E-2</v>
      </c>
      <c r="D149">
        <v>1.9202940000000002E-2</v>
      </c>
      <c r="E149">
        <v>1.8109360000000001E-2</v>
      </c>
      <c r="F149">
        <v>2.8495360000000001E-2</v>
      </c>
      <c r="G149">
        <v>1363.61</v>
      </c>
      <c r="H149">
        <v>20223616500</v>
      </c>
      <c r="I149">
        <v>6647</v>
      </c>
      <c r="J149">
        <v>19608790600</v>
      </c>
      <c r="K149">
        <v>6594</v>
      </c>
    </row>
    <row r="150" spans="1:11" x14ac:dyDescent="0.2">
      <c r="A150" s="5">
        <v>40694</v>
      </c>
      <c r="B150">
        <v>-1.4947709999999999E-2</v>
      </c>
      <c r="C150">
        <v>-1.6956390000000002E-2</v>
      </c>
      <c r="D150">
        <v>-1.8549490000000002E-2</v>
      </c>
      <c r="E150">
        <v>-2.0190949999999999E-2</v>
      </c>
      <c r="F150">
        <v>-1.350093E-2</v>
      </c>
      <c r="G150">
        <v>1345.2</v>
      </c>
      <c r="H150">
        <v>19876868000</v>
      </c>
      <c r="I150">
        <v>6688</v>
      </c>
      <c r="J150">
        <v>20189361800</v>
      </c>
      <c r="K150">
        <v>6619</v>
      </c>
    </row>
    <row r="151" spans="1:11" x14ac:dyDescent="0.2">
      <c r="A151" s="5">
        <v>40724</v>
      </c>
      <c r="B151">
        <v>-1.8447160000000001E-2</v>
      </c>
      <c r="C151">
        <v>-2.0210539999999999E-2</v>
      </c>
      <c r="D151">
        <v>-2.4105620000000001E-2</v>
      </c>
      <c r="E151">
        <v>-2.6251150000000001E-2</v>
      </c>
      <c r="F151">
        <v>-1.8257510000000001E-2</v>
      </c>
      <c r="G151">
        <v>1320.64</v>
      </c>
      <c r="H151">
        <v>19459901400</v>
      </c>
      <c r="I151">
        <v>6693</v>
      </c>
      <c r="J151">
        <v>19823555900</v>
      </c>
      <c r="K151">
        <v>6641</v>
      </c>
    </row>
    <row r="152" spans="1:11" x14ac:dyDescent="0.2">
      <c r="A152" s="5">
        <v>40753</v>
      </c>
      <c r="B152">
        <v>-2.2534200000000001E-2</v>
      </c>
      <c r="C152">
        <v>-2.367383E-2</v>
      </c>
      <c r="D152">
        <v>-2.181288E-2</v>
      </c>
      <c r="E152">
        <v>-2.2838110000000002E-2</v>
      </c>
      <c r="F152">
        <v>-2.1474440000000001E-2</v>
      </c>
      <c r="G152">
        <v>1292.28</v>
      </c>
      <c r="H152">
        <v>19002295500</v>
      </c>
      <c r="I152">
        <v>6690</v>
      </c>
      <c r="J152">
        <v>19425783500</v>
      </c>
      <c r="K152">
        <v>6657</v>
      </c>
    </row>
    <row r="153" spans="1:11" x14ac:dyDescent="0.2">
      <c r="A153" s="5">
        <v>40786</v>
      </c>
      <c r="B153">
        <v>-5.7563980000000001E-2</v>
      </c>
      <c r="C153">
        <v>-5.9704220000000002E-2</v>
      </c>
      <c r="D153">
        <v>-7.5715050000000006E-2</v>
      </c>
      <c r="E153">
        <v>-7.7328759999999996E-2</v>
      </c>
      <c r="F153">
        <v>-5.6791100000000004E-2</v>
      </c>
      <c r="G153">
        <v>1218.8900000000001</v>
      </c>
      <c r="H153">
        <v>17839871200</v>
      </c>
      <c r="I153">
        <v>6702</v>
      </c>
      <c r="J153">
        <v>18984767000</v>
      </c>
      <c r="K153">
        <v>6673</v>
      </c>
    </row>
    <row r="154" spans="1:11" x14ac:dyDescent="0.2">
      <c r="A154" s="5">
        <v>40816</v>
      </c>
      <c r="B154">
        <v>-8.4982700000000008E-2</v>
      </c>
      <c r="C154">
        <v>-8.6672479999999996E-2</v>
      </c>
      <c r="D154">
        <v>-0.10091979999999999</v>
      </c>
      <c r="E154">
        <v>-0.10288789999999999</v>
      </c>
      <c r="F154">
        <v>-7.1762010000000001E-2</v>
      </c>
      <c r="G154">
        <v>1131.42</v>
      </c>
      <c r="H154">
        <v>16265793700</v>
      </c>
      <c r="I154">
        <v>6714</v>
      </c>
      <c r="J154">
        <v>17807029400</v>
      </c>
      <c r="K154">
        <v>6677</v>
      </c>
    </row>
    <row r="155" spans="1:11" x14ac:dyDescent="0.2">
      <c r="A155" s="5">
        <v>40847</v>
      </c>
      <c r="B155">
        <v>0.11414589999999999</v>
      </c>
      <c r="C155">
        <v>0.1127353</v>
      </c>
      <c r="D155">
        <v>0.1076973</v>
      </c>
      <c r="E155">
        <v>0.1065754</v>
      </c>
      <c r="F155">
        <v>0.107723</v>
      </c>
      <c r="G155">
        <v>1253.3</v>
      </c>
      <c r="H155">
        <v>18075176700</v>
      </c>
      <c r="I155">
        <v>6707</v>
      </c>
      <c r="J155">
        <v>16245770300</v>
      </c>
      <c r="K155">
        <v>6679</v>
      </c>
    </row>
    <row r="156" spans="1:11" x14ac:dyDescent="0.2">
      <c r="A156" s="5">
        <v>40877</v>
      </c>
      <c r="B156">
        <v>-6.2700240000000008E-3</v>
      </c>
      <c r="C156">
        <v>-8.9373120000000011E-3</v>
      </c>
      <c r="D156">
        <v>-2.0644760000000002E-2</v>
      </c>
      <c r="E156">
        <v>-2.247971E-2</v>
      </c>
      <c r="F156">
        <v>-5.0586450000000005E-3</v>
      </c>
      <c r="G156">
        <v>1246.96</v>
      </c>
      <c r="H156">
        <v>17875052100</v>
      </c>
      <c r="I156">
        <v>6708</v>
      </c>
      <c r="J156">
        <v>18053371000</v>
      </c>
      <c r="K156">
        <v>6670</v>
      </c>
    </row>
    <row r="157" spans="1:11" x14ac:dyDescent="0.2">
      <c r="A157" s="5">
        <v>40907</v>
      </c>
      <c r="B157">
        <v>3.6757780000000002E-3</v>
      </c>
      <c r="C157">
        <v>1.4275070000000002E-3</v>
      </c>
      <c r="D157">
        <v>-3.5607020000000002E-3</v>
      </c>
      <c r="E157">
        <v>-7.0204170000000002E-3</v>
      </c>
      <c r="F157">
        <v>8.5327509999999999E-3</v>
      </c>
      <c r="G157">
        <v>1257.5999999999999</v>
      </c>
      <c r="H157">
        <v>17904716200</v>
      </c>
      <c r="I157">
        <v>6685</v>
      </c>
      <c r="J157">
        <v>17849515200</v>
      </c>
      <c r="K157">
        <v>6654</v>
      </c>
    </row>
    <row r="158" spans="1:11" x14ac:dyDescent="0.2">
      <c r="A158" s="5">
        <v>40939</v>
      </c>
      <c r="B158">
        <v>5.4106390000000004E-2</v>
      </c>
      <c r="C158">
        <v>5.2959840000000001E-2</v>
      </c>
      <c r="D158">
        <v>8.5342000000000001E-2</v>
      </c>
      <c r="E158">
        <v>8.4431880000000001E-2</v>
      </c>
      <c r="F158">
        <v>4.358302E-2</v>
      </c>
      <c r="G158">
        <v>1312.41</v>
      </c>
      <c r="H158">
        <v>18873658900</v>
      </c>
      <c r="I158">
        <v>6683</v>
      </c>
      <c r="J158">
        <v>17884102600</v>
      </c>
      <c r="K158">
        <v>6652</v>
      </c>
    </row>
    <row r="159" spans="1:11" x14ac:dyDescent="0.2">
      <c r="A159" s="5">
        <v>40968</v>
      </c>
      <c r="B159">
        <v>4.1225249999999998E-2</v>
      </c>
      <c r="C159">
        <v>3.8952640000000004E-2</v>
      </c>
      <c r="D159">
        <v>3.649384E-2</v>
      </c>
      <c r="E159">
        <v>3.5003300000000001E-2</v>
      </c>
      <c r="F159">
        <v>4.0589449999999999E-2</v>
      </c>
      <c r="G159">
        <v>1365.68</v>
      </c>
      <c r="H159">
        <v>19602648200</v>
      </c>
      <c r="I159">
        <v>6711</v>
      </c>
      <c r="J159">
        <v>18853758900</v>
      </c>
      <c r="K159">
        <v>6647</v>
      </c>
    </row>
    <row r="160" spans="1:11" x14ac:dyDescent="0.2">
      <c r="A160" s="5">
        <v>40998</v>
      </c>
      <c r="B160">
        <v>2.4020320000000001E-2</v>
      </c>
      <c r="C160">
        <v>2.2137980000000002E-2</v>
      </c>
      <c r="D160">
        <v>1.7608390000000002E-2</v>
      </c>
      <c r="E160">
        <v>1.5302920000000001E-2</v>
      </c>
      <c r="F160">
        <v>3.133238E-2</v>
      </c>
      <c r="G160">
        <v>1408.47</v>
      </c>
      <c r="H160">
        <v>20077674300</v>
      </c>
      <c r="I160">
        <v>6727</v>
      </c>
      <c r="J160">
        <v>19583395400</v>
      </c>
      <c r="K160">
        <v>6684</v>
      </c>
    </row>
    <row r="161" spans="1:11" x14ac:dyDescent="0.2">
      <c r="A161" s="5">
        <v>41029</v>
      </c>
      <c r="B161">
        <v>-6.8285950000000007E-3</v>
      </c>
      <c r="C161">
        <v>-8.0461720000000007E-3</v>
      </c>
      <c r="D161">
        <v>-9.1063340000000007E-3</v>
      </c>
      <c r="E161">
        <v>-1.0235070000000001E-2</v>
      </c>
      <c r="F161">
        <v>-7.4974970000000005E-3</v>
      </c>
      <c r="G161">
        <v>1397.91</v>
      </c>
      <c r="H161">
        <v>19935941600</v>
      </c>
      <c r="I161">
        <v>6733</v>
      </c>
      <c r="J161">
        <v>20034581300</v>
      </c>
      <c r="K161">
        <v>6697</v>
      </c>
    </row>
    <row r="162" spans="1:11" x14ac:dyDescent="0.2">
      <c r="A162" s="5">
        <v>41060</v>
      </c>
      <c r="B162">
        <v>-6.5590220000000005E-2</v>
      </c>
      <c r="C162">
        <v>-6.8004620000000002E-2</v>
      </c>
      <c r="D162">
        <v>-6.8418099999999996E-2</v>
      </c>
      <c r="E162">
        <v>-7.0387500000000006E-2</v>
      </c>
      <c r="F162">
        <v>-6.2650670000000006E-2</v>
      </c>
      <c r="G162">
        <v>1310.33</v>
      </c>
      <c r="H162">
        <v>18585457900</v>
      </c>
      <c r="I162">
        <v>6739</v>
      </c>
      <c r="J162">
        <v>19889855000</v>
      </c>
      <c r="K162">
        <v>6705</v>
      </c>
    </row>
    <row r="163" spans="1:11" x14ac:dyDescent="0.2">
      <c r="A163" s="5">
        <v>41089</v>
      </c>
      <c r="B163">
        <v>3.8150870000000003E-2</v>
      </c>
      <c r="C163">
        <v>3.6049209999999998E-2</v>
      </c>
      <c r="D163">
        <v>3.4187990000000001E-2</v>
      </c>
      <c r="E163">
        <v>3.1622450000000003E-2</v>
      </c>
      <c r="F163">
        <v>3.955492E-2</v>
      </c>
      <c r="G163">
        <v>1362.16</v>
      </c>
      <c r="H163">
        <v>19262766500</v>
      </c>
      <c r="I163">
        <v>6734</v>
      </c>
      <c r="J163">
        <v>18577999100</v>
      </c>
      <c r="K163">
        <v>6711</v>
      </c>
    </row>
    <row r="164" spans="1:11" x14ac:dyDescent="0.2">
      <c r="A164" s="5">
        <v>41121</v>
      </c>
      <c r="B164">
        <v>1.030725E-2</v>
      </c>
      <c r="C164">
        <v>9.0547290000000009E-3</v>
      </c>
      <c r="D164">
        <v>-3.2805660000000004E-3</v>
      </c>
      <c r="E164">
        <v>-4.4844970000000005E-3</v>
      </c>
      <c r="F164">
        <v>1.259764E-2</v>
      </c>
      <c r="G164">
        <v>1379.32</v>
      </c>
      <c r="H164">
        <v>19436230800</v>
      </c>
      <c r="I164">
        <v>6725</v>
      </c>
      <c r="J164">
        <v>19213399000</v>
      </c>
      <c r="K164">
        <v>6692</v>
      </c>
    </row>
    <row r="165" spans="1:11" x14ac:dyDescent="0.2">
      <c r="A165" s="5">
        <v>41152</v>
      </c>
      <c r="B165">
        <v>2.631677E-2</v>
      </c>
      <c r="C165">
        <v>2.3717600000000002E-2</v>
      </c>
      <c r="D165">
        <v>2.4819050000000002E-2</v>
      </c>
      <c r="E165">
        <v>2.2963870000000001E-2</v>
      </c>
      <c r="F165">
        <v>1.9763360000000001E-2</v>
      </c>
      <c r="G165">
        <v>1406.58</v>
      </c>
      <c r="H165">
        <v>19872602500</v>
      </c>
      <c r="I165">
        <v>6687</v>
      </c>
      <c r="J165">
        <v>19414256100</v>
      </c>
      <c r="K165">
        <v>6664</v>
      </c>
    </row>
    <row r="166" spans="1:11" x14ac:dyDescent="0.2">
      <c r="A166" s="5">
        <v>41180</v>
      </c>
      <c r="B166">
        <v>2.6513270000000002E-2</v>
      </c>
      <c r="C166">
        <v>2.4563990000000001E-2</v>
      </c>
      <c r="D166">
        <v>3.4925160000000004E-2</v>
      </c>
      <c r="E166">
        <v>3.2689879999999998E-2</v>
      </c>
      <c r="F166">
        <v>2.4236090000000002E-2</v>
      </c>
      <c r="G166">
        <v>1440.67</v>
      </c>
      <c r="H166">
        <v>20430417500</v>
      </c>
      <c r="I166">
        <v>6673</v>
      </c>
      <c r="J166">
        <v>19867330700</v>
      </c>
      <c r="K166">
        <v>6653</v>
      </c>
    </row>
    <row r="167" spans="1:11" x14ac:dyDescent="0.2">
      <c r="A167" s="5">
        <v>41213</v>
      </c>
      <c r="B167">
        <v>-1.4054500000000001E-2</v>
      </c>
      <c r="C167">
        <v>-1.550177E-2</v>
      </c>
      <c r="D167">
        <v>-1.3476989999999999E-2</v>
      </c>
      <c r="E167">
        <v>-1.4780930000000001E-2</v>
      </c>
      <c r="F167">
        <v>-1.9789400000000002E-2</v>
      </c>
      <c r="G167">
        <v>1412.16</v>
      </c>
      <c r="H167">
        <v>20117192100</v>
      </c>
      <c r="I167">
        <v>6646</v>
      </c>
      <c r="J167">
        <v>20405302800</v>
      </c>
      <c r="K167">
        <v>6598</v>
      </c>
    </row>
    <row r="168" spans="1:11" x14ac:dyDescent="0.2">
      <c r="A168" s="5">
        <v>41243</v>
      </c>
      <c r="B168">
        <v>6.2167580000000002E-3</v>
      </c>
      <c r="C168">
        <v>2.9766970000000004E-3</v>
      </c>
      <c r="D168">
        <v>2.790037E-3</v>
      </c>
      <c r="E168">
        <v>1.4171290000000001E-4</v>
      </c>
      <c r="F168">
        <v>2.8467030000000003E-3</v>
      </c>
      <c r="G168">
        <v>1416.18</v>
      </c>
      <c r="H168">
        <v>20175039900</v>
      </c>
      <c r="I168">
        <v>6642</v>
      </c>
      <c r="J168">
        <v>20112252800</v>
      </c>
      <c r="K168">
        <v>6620</v>
      </c>
    </row>
    <row r="169" spans="1:11" x14ac:dyDescent="0.2">
      <c r="A169" s="5">
        <v>41274</v>
      </c>
      <c r="B169">
        <v>1.2568590000000001E-2</v>
      </c>
      <c r="C169">
        <v>9.0192210000000009E-3</v>
      </c>
      <c r="D169">
        <v>2.1871740000000001E-2</v>
      </c>
      <c r="E169">
        <v>1.6405969999999999E-2</v>
      </c>
      <c r="F169">
        <v>7.0683100000000004E-3</v>
      </c>
      <c r="G169">
        <v>1426.19</v>
      </c>
      <c r="H169">
        <v>20386768400</v>
      </c>
      <c r="I169">
        <v>6627</v>
      </c>
      <c r="J169">
        <v>20141277200</v>
      </c>
      <c r="K169">
        <v>6598</v>
      </c>
    </row>
    <row r="170" spans="1:11" x14ac:dyDescent="0.2">
      <c r="A170" s="5">
        <v>41305</v>
      </c>
      <c r="B170">
        <v>5.4142099999999999E-2</v>
      </c>
      <c r="C170">
        <v>5.2936799999999999E-2</v>
      </c>
      <c r="D170">
        <v>6.3509360000000001E-2</v>
      </c>
      <c r="E170">
        <v>6.267992E-2</v>
      </c>
      <c r="F170">
        <v>5.0428060000000004E-2</v>
      </c>
      <c r="G170">
        <v>1498.11</v>
      </c>
      <c r="H170">
        <v>21513636700</v>
      </c>
      <c r="I170">
        <v>6626</v>
      </c>
      <c r="J170">
        <v>20374337900</v>
      </c>
      <c r="K170">
        <v>6604</v>
      </c>
    </row>
    <row r="171" spans="1:11" x14ac:dyDescent="0.2">
      <c r="A171" s="5">
        <v>41333</v>
      </c>
      <c r="B171">
        <v>8.2821920000000007E-3</v>
      </c>
      <c r="C171">
        <v>6.0785370000000002E-3</v>
      </c>
      <c r="D171">
        <v>3.4906820000000002E-3</v>
      </c>
      <c r="E171">
        <v>2.0508420000000002E-3</v>
      </c>
      <c r="F171">
        <v>1.10606E-2</v>
      </c>
      <c r="G171">
        <v>1514.68</v>
      </c>
      <c r="H171">
        <v>21613964900</v>
      </c>
      <c r="I171">
        <v>6621</v>
      </c>
      <c r="J171">
        <v>21473005900</v>
      </c>
      <c r="K171">
        <v>6586</v>
      </c>
    </row>
    <row r="172" spans="1:11" x14ac:dyDescent="0.2">
      <c r="A172" s="5">
        <v>41361</v>
      </c>
      <c r="B172">
        <v>3.5294610000000004E-2</v>
      </c>
      <c r="C172">
        <v>3.3526489999999999E-2</v>
      </c>
      <c r="D172">
        <v>3.1418740000000001E-2</v>
      </c>
      <c r="E172">
        <v>2.9528870000000002E-2</v>
      </c>
      <c r="F172">
        <v>3.59878E-2</v>
      </c>
      <c r="G172">
        <v>1569.19</v>
      </c>
      <c r="H172">
        <v>22397711900</v>
      </c>
      <c r="I172">
        <v>6607</v>
      </c>
      <c r="J172">
        <v>21603797900</v>
      </c>
      <c r="K172">
        <v>6583</v>
      </c>
    </row>
    <row r="173" spans="1:11" x14ac:dyDescent="0.2">
      <c r="A173" s="5">
        <v>41394</v>
      </c>
      <c r="B173">
        <v>1.4938660000000001E-2</v>
      </c>
      <c r="C173">
        <v>1.376371E-2</v>
      </c>
      <c r="D173">
        <v>2.4771910000000001E-3</v>
      </c>
      <c r="E173">
        <v>1.3755030000000001E-3</v>
      </c>
      <c r="F173">
        <v>1.8085759999999999E-2</v>
      </c>
      <c r="G173">
        <v>1597.57</v>
      </c>
      <c r="H173">
        <v>22722249100</v>
      </c>
      <c r="I173">
        <v>6615</v>
      </c>
      <c r="J173">
        <v>22387194600</v>
      </c>
      <c r="K173">
        <v>6569</v>
      </c>
    </row>
    <row r="174" spans="1:11" x14ac:dyDescent="0.2">
      <c r="A174" s="5">
        <v>41425</v>
      </c>
      <c r="B174">
        <v>1.912778E-2</v>
      </c>
      <c r="C174">
        <v>1.656782E-2</v>
      </c>
      <c r="D174">
        <v>2.3985349999999999E-2</v>
      </c>
      <c r="E174">
        <v>2.2130650000000002E-2</v>
      </c>
      <c r="F174">
        <v>2.0762780000000002E-2</v>
      </c>
      <c r="G174">
        <v>1630.74</v>
      </c>
      <c r="H174">
        <v>23148554100</v>
      </c>
      <c r="I174">
        <v>6639</v>
      </c>
      <c r="J174">
        <v>22696292100</v>
      </c>
      <c r="K174">
        <v>6583</v>
      </c>
    </row>
    <row r="175" spans="1:11" x14ac:dyDescent="0.2">
      <c r="A175" s="5">
        <v>41453</v>
      </c>
      <c r="B175">
        <v>-1.5072220000000001E-2</v>
      </c>
      <c r="C175">
        <v>-1.708902E-2</v>
      </c>
      <c r="D175">
        <v>-1.3011969999999999E-2</v>
      </c>
      <c r="E175">
        <v>-1.563115E-2</v>
      </c>
      <c r="F175">
        <v>-1.499933E-2</v>
      </c>
      <c r="G175">
        <v>1606.28</v>
      </c>
      <c r="H175">
        <v>22739738300</v>
      </c>
      <c r="I175">
        <v>6658</v>
      </c>
      <c r="J175">
        <v>23102958400</v>
      </c>
      <c r="K175">
        <v>6607</v>
      </c>
    </row>
    <row r="176" spans="1:11" x14ac:dyDescent="0.2">
      <c r="A176" s="5">
        <v>41486</v>
      </c>
      <c r="B176">
        <v>5.2658040000000003E-2</v>
      </c>
      <c r="C176">
        <v>5.1222549999999999E-2</v>
      </c>
      <c r="D176">
        <v>5.4898280000000001E-2</v>
      </c>
      <c r="E176">
        <v>5.3720030000000002E-2</v>
      </c>
      <c r="F176">
        <v>4.9462110000000004E-2</v>
      </c>
      <c r="G176">
        <v>1685.73</v>
      </c>
      <c r="H176">
        <v>23914952000</v>
      </c>
      <c r="I176">
        <v>6673</v>
      </c>
      <c r="J176">
        <v>22697448400</v>
      </c>
      <c r="K176">
        <v>6626</v>
      </c>
    </row>
    <row r="177" spans="1:11" x14ac:dyDescent="0.2">
      <c r="A177" s="5">
        <v>41516</v>
      </c>
      <c r="B177">
        <v>-2.575005E-2</v>
      </c>
      <c r="C177">
        <v>-2.792708E-2</v>
      </c>
      <c r="D177">
        <v>-1.7277870000000001E-2</v>
      </c>
      <c r="E177">
        <v>-1.9028759999999999E-2</v>
      </c>
      <c r="F177">
        <v>-3.1298010000000001E-2</v>
      </c>
      <c r="G177">
        <v>1632.97</v>
      </c>
      <c r="H177">
        <v>23255257600</v>
      </c>
      <c r="I177">
        <v>6695</v>
      </c>
      <c r="J177">
        <v>23910012500</v>
      </c>
      <c r="K177">
        <v>6654</v>
      </c>
    </row>
    <row r="178" spans="1:11" x14ac:dyDescent="0.2">
      <c r="A178" s="5">
        <v>41547</v>
      </c>
      <c r="B178">
        <v>3.7497210000000003E-2</v>
      </c>
      <c r="C178">
        <v>3.5699260000000003E-2</v>
      </c>
      <c r="D178">
        <v>5.1828360000000004E-2</v>
      </c>
      <c r="E178">
        <v>4.975446E-2</v>
      </c>
      <c r="F178">
        <v>2.9749480000000002E-2</v>
      </c>
      <c r="G178">
        <v>1681.55</v>
      </c>
      <c r="H178">
        <v>24127569600</v>
      </c>
      <c r="I178">
        <v>6719</v>
      </c>
      <c r="J178">
        <v>23237558300</v>
      </c>
      <c r="K178">
        <v>6676</v>
      </c>
    </row>
    <row r="179" spans="1:11" x14ac:dyDescent="0.2">
      <c r="A179" s="5">
        <v>41578</v>
      </c>
      <c r="B179">
        <v>3.9888529999999998E-2</v>
      </c>
      <c r="C179">
        <v>3.8603190000000003E-2</v>
      </c>
      <c r="D179">
        <v>2.5761909999999999E-2</v>
      </c>
      <c r="E179">
        <v>2.4591270000000002E-2</v>
      </c>
      <c r="F179">
        <v>4.4595759999999998E-2</v>
      </c>
      <c r="G179">
        <v>1756.54</v>
      </c>
      <c r="H179">
        <v>25055863500</v>
      </c>
      <c r="I179">
        <v>6749</v>
      </c>
      <c r="J179">
        <v>24072076700</v>
      </c>
      <c r="K179">
        <v>6679</v>
      </c>
    </row>
    <row r="180" spans="1:11" x14ac:dyDescent="0.2">
      <c r="A180" s="5">
        <v>41607</v>
      </c>
      <c r="B180">
        <v>2.4956390000000002E-2</v>
      </c>
      <c r="C180">
        <v>2.2831190000000001E-2</v>
      </c>
      <c r="D180">
        <v>2.3397770000000002E-2</v>
      </c>
      <c r="E180">
        <v>2.1659939999999999E-2</v>
      </c>
      <c r="F180">
        <v>2.8049460000000002E-2</v>
      </c>
      <c r="G180">
        <v>1805.81</v>
      </c>
      <c r="H180">
        <v>25661520700</v>
      </c>
      <c r="I180">
        <v>6759</v>
      </c>
      <c r="J180">
        <v>25032874100</v>
      </c>
      <c r="K180">
        <v>6707</v>
      </c>
    </row>
    <row r="181" spans="1:11" x14ac:dyDescent="0.2">
      <c r="A181" s="5">
        <v>41639</v>
      </c>
      <c r="B181">
        <v>2.6139880000000001E-2</v>
      </c>
      <c r="C181">
        <v>2.4081850000000002E-2</v>
      </c>
      <c r="D181">
        <v>2.524011E-2</v>
      </c>
      <c r="E181">
        <v>2.201036E-2</v>
      </c>
      <c r="F181">
        <v>2.356283E-2</v>
      </c>
      <c r="G181">
        <v>1848.36</v>
      </c>
      <c r="H181">
        <v>26328806400</v>
      </c>
      <c r="I181">
        <v>6765</v>
      </c>
      <c r="J181">
        <v>25633146600</v>
      </c>
      <c r="K181">
        <v>6732</v>
      </c>
    </row>
    <row r="182" spans="1:11" x14ac:dyDescent="0.2">
      <c r="A182" s="5">
        <v>41670</v>
      </c>
      <c r="B182">
        <v>-3.0019710000000002E-2</v>
      </c>
      <c r="C182">
        <v>-3.1124160000000001E-2</v>
      </c>
      <c r="D182">
        <v>-1.2818249999999999E-3</v>
      </c>
      <c r="E182">
        <v>-2.25384E-3</v>
      </c>
      <c r="F182">
        <v>-3.5582900000000001E-2</v>
      </c>
      <c r="G182">
        <v>1782.59</v>
      </c>
      <c r="H182">
        <v>25528420200</v>
      </c>
      <c r="I182">
        <v>6801</v>
      </c>
      <c r="J182">
        <v>26310086700</v>
      </c>
      <c r="K182">
        <v>6743</v>
      </c>
    </row>
    <row r="183" spans="1:11" x14ac:dyDescent="0.2">
      <c r="A183" s="5">
        <v>41698</v>
      </c>
      <c r="B183">
        <v>4.6198340000000004E-2</v>
      </c>
      <c r="C183">
        <v>4.3963309999999999E-2</v>
      </c>
      <c r="D183">
        <v>4.4257160000000004E-2</v>
      </c>
      <c r="E183">
        <v>4.268657E-2</v>
      </c>
      <c r="F183">
        <v>4.3117040000000002E-2</v>
      </c>
      <c r="G183">
        <v>1859.45</v>
      </c>
      <c r="H183">
        <v>26694950800</v>
      </c>
      <c r="I183">
        <v>6810</v>
      </c>
      <c r="J183">
        <v>25497844300</v>
      </c>
      <c r="K183">
        <v>6765</v>
      </c>
    </row>
    <row r="184" spans="1:11" x14ac:dyDescent="0.2">
      <c r="A184" s="5">
        <v>41729</v>
      </c>
      <c r="B184">
        <v>4.5402910000000001E-3</v>
      </c>
      <c r="C184">
        <v>2.8191590000000003E-3</v>
      </c>
      <c r="D184">
        <v>1.028132E-3</v>
      </c>
      <c r="E184">
        <v>-1.0952400000000001E-3</v>
      </c>
      <c r="F184">
        <v>6.9321580000000008E-3</v>
      </c>
      <c r="G184">
        <v>1872.34</v>
      </c>
      <c r="H184">
        <v>26838814300</v>
      </c>
      <c r="I184">
        <v>6838</v>
      </c>
      <c r="J184">
        <v>26685705600</v>
      </c>
      <c r="K184">
        <v>6780</v>
      </c>
    </row>
    <row r="185" spans="1:11" x14ac:dyDescent="0.2">
      <c r="A185" s="5">
        <v>41759</v>
      </c>
      <c r="B185">
        <v>1.5731880000000001E-3</v>
      </c>
      <c r="C185">
        <v>4.0966519999999999E-4</v>
      </c>
      <c r="D185">
        <v>-2.231901E-2</v>
      </c>
      <c r="E185">
        <v>-2.3436459999999999E-2</v>
      </c>
      <c r="F185">
        <v>6.2007970000000001E-3</v>
      </c>
      <c r="G185">
        <v>1883.95</v>
      </c>
      <c r="H185">
        <v>26921957000</v>
      </c>
      <c r="I185">
        <v>6868</v>
      </c>
      <c r="J185">
        <v>26823659900</v>
      </c>
      <c r="K185">
        <v>6817</v>
      </c>
    </row>
    <row r="186" spans="1:11" x14ac:dyDescent="0.2">
      <c r="A186" s="5">
        <v>41789</v>
      </c>
      <c r="B186">
        <v>2.0254009999999999E-2</v>
      </c>
      <c r="C186">
        <v>1.80454E-2</v>
      </c>
      <c r="D186">
        <v>6.6465030000000007E-3</v>
      </c>
      <c r="E186">
        <v>4.8581660000000006E-3</v>
      </c>
      <c r="F186">
        <v>2.1030280000000002E-2</v>
      </c>
      <c r="G186">
        <v>1923.57</v>
      </c>
      <c r="H186">
        <v>27406278400</v>
      </c>
      <c r="I186">
        <v>6900</v>
      </c>
      <c r="J186">
        <v>26894144400</v>
      </c>
      <c r="K186">
        <v>6847</v>
      </c>
    </row>
    <row r="187" spans="1:11" x14ac:dyDescent="0.2">
      <c r="A187" s="5">
        <v>41820</v>
      </c>
      <c r="B187">
        <v>2.797293E-2</v>
      </c>
      <c r="C187">
        <v>2.598613E-2</v>
      </c>
      <c r="D187">
        <v>3.950087E-2</v>
      </c>
      <c r="E187">
        <v>3.7052590000000003E-2</v>
      </c>
      <c r="F187">
        <v>1.9058310000000002E-2</v>
      </c>
      <c r="G187">
        <v>1960.23</v>
      </c>
      <c r="H187">
        <v>28165010700</v>
      </c>
      <c r="I187">
        <v>6942</v>
      </c>
      <c r="J187">
        <v>27388022400</v>
      </c>
      <c r="K187">
        <v>6874</v>
      </c>
    </row>
    <row r="188" spans="1:11" x14ac:dyDescent="0.2">
      <c r="A188" s="5">
        <v>41851</v>
      </c>
      <c r="B188">
        <v>-2.0554929999999999E-2</v>
      </c>
      <c r="C188">
        <v>-2.1849030000000002E-2</v>
      </c>
      <c r="D188">
        <v>-3.5223049999999999E-2</v>
      </c>
      <c r="E188">
        <v>-3.64108E-2</v>
      </c>
      <c r="F188">
        <v>-1.507986E-2</v>
      </c>
      <c r="G188">
        <v>1930.67</v>
      </c>
      <c r="H188">
        <v>27586823300</v>
      </c>
      <c r="I188">
        <v>6975</v>
      </c>
      <c r="J188">
        <v>28122289800</v>
      </c>
      <c r="K188">
        <v>6913</v>
      </c>
    </row>
    <row r="189" spans="1:11" x14ac:dyDescent="0.2">
      <c r="A189" s="5">
        <v>41880</v>
      </c>
      <c r="B189">
        <v>4.0205350000000001E-2</v>
      </c>
      <c r="C189">
        <v>3.8202090000000001E-2</v>
      </c>
      <c r="D189">
        <v>3.3697160000000004E-2</v>
      </c>
      <c r="E189">
        <v>3.2155500000000004E-2</v>
      </c>
      <c r="F189">
        <v>3.7655319999999999E-2</v>
      </c>
      <c r="G189">
        <v>2003.37</v>
      </c>
      <c r="H189">
        <v>28633346700</v>
      </c>
      <c r="I189">
        <v>6995</v>
      </c>
      <c r="J189">
        <v>27562919600</v>
      </c>
      <c r="K189">
        <v>6950</v>
      </c>
    </row>
    <row r="190" spans="1:11" x14ac:dyDescent="0.2">
      <c r="A190" s="5">
        <v>41912</v>
      </c>
      <c r="B190">
        <v>-2.5195749999999999E-2</v>
      </c>
      <c r="C190">
        <v>-2.6893130000000001E-2</v>
      </c>
      <c r="D190">
        <v>-4.4988140000000003E-2</v>
      </c>
      <c r="E190">
        <v>-4.6891139999999998E-2</v>
      </c>
      <c r="F190">
        <v>-1.5513860000000001E-2</v>
      </c>
      <c r="G190">
        <v>1972.29</v>
      </c>
      <c r="H190">
        <v>27893175900</v>
      </c>
      <c r="I190">
        <v>7000</v>
      </c>
      <c r="J190">
        <v>28612670000</v>
      </c>
      <c r="K190">
        <v>6955</v>
      </c>
    </row>
    <row r="191" spans="1:11" x14ac:dyDescent="0.2">
      <c r="A191" s="5">
        <v>41943</v>
      </c>
      <c r="B191">
        <v>2.1163919999999999E-2</v>
      </c>
      <c r="C191">
        <v>1.9916429999999999E-2</v>
      </c>
      <c r="D191">
        <v>1.4199380000000001E-2</v>
      </c>
      <c r="E191">
        <v>1.295576E-2</v>
      </c>
      <c r="F191">
        <v>2.320146E-2</v>
      </c>
      <c r="G191">
        <v>2018.05</v>
      </c>
      <c r="H191">
        <v>28485779200</v>
      </c>
      <c r="I191">
        <v>7028</v>
      </c>
      <c r="J191">
        <v>27883783900</v>
      </c>
      <c r="K191">
        <v>6958</v>
      </c>
    </row>
    <row r="192" spans="1:11" x14ac:dyDescent="0.2">
      <c r="A192" s="5">
        <v>41971</v>
      </c>
      <c r="B192">
        <v>2.1104009999999999E-2</v>
      </c>
      <c r="C192">
        <v>1.8937820000000001E-2</v>
      </c>
      <c r="D192">
        <v>-2.4583440000000003E-3</v>
      </c>
      <c r="E192">
        <v>-4.1550620000000002E-3</v>
      </c>
      <c r="F192">
        <v>2.4533579999999999E-2</v>
      </c>
      <c r="G192">
        <v>2067.56</v>
      </c>
      <c r="H192">
        <v>29082336800</v>
      </c>
      <c r="I192">
        <v>7051</v>
      </c>
      <c r="J192">
        <v>28411404800</v>
      </c>
      <c r="K192">
        <v>6991</v>
      </c>
    </row>
    <row r="193" spans="1:11" x14ac:dyDescent="0.2">
      <c r="A193" s="5">
        <v>42004</v>
      </c>
      <c r="B193">
        <v>-3.659041E-3</v>
      </c>
      <c r="C193">
        <v>-5.8004900000000002E-3</v>
      </c>
      <c r="D193">
        <v>-1.8898750000000001E-4</v>
      </c>
      <c r="E193">
        <v>-3.5623400000000002E-3</v>
      </c>
      <c r="F193">
        <v>-4.1885120000000001E-3</v>
      </c>
      <c r="G193">
        <v>2058.9</v>
      </c>
      <c r="H193">
        <v>29009736000</v>
      </c>
      <c r="I193">
        <v>7046</v>
      </c>
      <c r="J193">
        <v>29027468700</v>
      </c>
      <c r="K193">
        <v>7004</v>
      </c>
    </row>
    <row r="194" spans="1:11" x14ac:dyDescent="0.2">
      <c r="A194" s="5">
        <v>42034</v>
      </c>
      <c r="B194">
        <v>-2.7163099999999999E-2</v>
      </c>
      <c r="C194">
        <v>-2.8232940000000002E-2</v>
      </c>
      <c r="D194">
        <v>-1.9072809999999999E-2</v>
      </c>
      <c r="E194">
        <v>-2.0094560000000001E-2</v>
      </c>
      <c r="F194">
        <v>-3.1040850000000002E-2</v>
      </c>
      <c r="G194">
        <v>1994.99</v>
      </c>
      <c r="H194">
        <v>28110203600</v>
      </c>
      <c r="I194">
        <v>7035</v>
      </c>
      <c r="J194">
        <v>28860802600</v>
      </c>
      <c r="K194">
        <v>6999</v>
      </c>
    </row>
    <row r="195" spans="1:11" x14ac:dyDescent="0.2">
      <c r="A195" s="5">
        <v>42062</v>
      </c>
      <c r="B195">
        <v>5.5915320000000004E-2</v>
      </c>
      <c r="C195">
        <v>5.3599180000000003E-2</v>
      </c>
      <c r="D195">
        <v>5.4120069999999999E-2</v>
      </c>
      <c r="E195">
        <v>5.2496859999999999E-2</v>
      </c>
      <c r="F195">
        <v>5.4892509999999999E-2</v>
      </c>
      <c r="G195">
        <v>2104.5</v>
      </c>
      <c r="H195">
        <v>29599694700</v>
      </c>
      <c r="I195">
        <v>7043</v>
      </c>
      <c r="J195">
        <v>28057010700</v>
      </c>
      <c r="K195">
        <v>7004</v>
      </c>
    </row>
    <row r="196" spans="1:11" x14ac:dyDescent="0.2">
      <c r="A196" s="5">
        <v>42094</v>
      </c>
      <c r="B196">
        <v>-1.039692E-2</v>
      </c>
      <c r="C196">
        <v>-1.221145E-2</v>
      </c>
      <c r="D196">
        <v>-5.1117990000000002E-3</v>
      </c>
      <c r="E196">
        <v>-7.2037340000000007E-3</v>
      </c>
      <c r="F196">
        <v>-1.7396060000000001E-2</v>
      </c>
      <c r="G196">
        <v>2067.89</v>
      </c>
      <c r="H196">
        <v>29231349700</v>
      </c>
      <c r="I196">
        <v>7051</v>
      </c>
      <c r="J196">
        <v>29494819300</v>
      </c>
      <c r="K196">
        <v>7009</v>
      </c>
    </row>
    <row r="197" spans="1:11" x14ac:dyDescent="0.2">
      <c r="A197" s="5">
        <v>42124</v>
      </c>
      <c r="B197">
        <v>8.7658250000000014E-3</v>
      </c>
      <c r="C197">
        <v>7.6180870000000008E-3</v>
      </c>
      <c r="D197">
        <v>1.512702E-2</v>
      </c>
      <c r="E197">
        <v>1.398897E-2</v>
      </c>
      <c r="F197">
        <v>8.5207620000000012E-3</v>
      </c>
      <c r="G197">
        <v>2085.5100000000002</v>
      </c>
      <c r="H197">
        <v>29466902400</v>
      </c>
      <c r="I197">
        <v>7069</v>
      </c>
      <c r="J197">
        <v>29196273800</v>
      </c>
      <c r="K197">
        <v>7023</v>
      </c>
    </row>
    <row r="198" spans="1:11" x14ac:dyDescent="0.2">
      <c r="A198" s="5">
        <v>42153</v>
      </c>
      <c r="B198">
        <v>1.0277420000000001E-2</v>
      </c>
      <c r="C198">
        <v>8.1150420000000011E-3</v>
      </c>
      <c r="D198">
        <v>3.9700840000000005E-3</v>
      </c>
      <c r="E198">
        <v>2.3205750000000001E-3</v>
      </c>
      <c r="F198">
        <v>1.0491439999999999E-2</v>
      </c>
      <c r="G198">
        <v>2107.39</v>
      </c>
      <c r="H198">
        <v>29658765800</v>
      </c>
      <c r="I198">
        <v>7094</v>
      </c>
      <c r="J198">
        <v>29399668100</v>
      </c>
      <c r="K198">
        <v>7047</v>
      </c>
    </row>
    <row r="199" spans="1:11" x14ac:dyDescent="0.2">
      <c r="A199" s="5">
        <v>42185</v>
      </c>
      <c r="B199">
        <v>-1.923101E-2</v>
      </c>
      <c r="C199">
        <v>-2.1171180000000001E-2</v>
      </c>
      <c r="D199">
        <v>-1.345881E-2</v>
      </c>
      <c r="E199">
        <v>-1.5955009999999999E-2</v>
      </c>
      <c r="F199">
        <v>-2.1011769999999999E-2</v>
      </c>
      <c r="G199">
        <v>2063.11</v>
      </c>
      <c r="H199">
        <v>29053861000</v>
      </c>
      <c r="I199">
        <v>7140</v>
      </c>
      <c r="J199">
        <v>29609073700</v>
      </c>
      <c r="K199">
        <v>7069</v>
      </c>
    </row>
    <row r="200" spans="1:11" x14ac:dyDescent="0.2">
      <c r="A200" s="5">
        <v>42216</v>
      </c>
      <c r="B200">
        <v>1.210751E-2</v>
      </c>
      <c r="C200">
        <v>1.08945E-2</v>
      </c>
      <c r="D200">
        <v>-2.712985E-2</v>
      </c>
      <c r="E200">
        <v>-2.83728E-2</v>
      </c>
      <c r="F200">
        <v>1.9742039999999999E-2</v>
      </c>
      <c r="G200">
        <v>2103.84</v>
      </c>
      <c r="H200">
        <v>29397941500</v>
      </c>
      <c r="I200">
        <v>7194</v>
      </c>
      <c r="J200">
        <v>28906301600</v>
      </c>
      <c r="K200">
        <v>7106</v>
      </c>
    </row>
    <row r="201" spans="1:11" x14ac:dyDescent="0.2">
      <c r="A201" s="5">
        <v>42247</v>
      </c>
      <c r="B201">
        <v>-5.9926440000000004E-2</v>
      </c>
      <c r="C201">
        <v>-6.1992730000000003E-2</v>
      </c>
      <c r="D201">
        <v>-4.7295000000000004E-2</v>
      </c>
      <c r="E201">
        <v>-4.9308490000000003E-2</v>
      </c>
      <c r="F201">
        <v>-6.2580800000000006E-2</v>
      </c>
      <c r="G201">
        <v>1972.18</v>
      </c>
      <c r="H201">
        <v>27519743700</v>
      </c>
      <c r="I201">
        <v>7197</v>
      </c>
      <c r="J201">
        <v>29343559900</v>
      </c>
      <c r="K201">
        <v>7151</v>
      </c>
    </row>
    <row r="202" spans="1:11" x14ac:dyDescent="0.2">
      <c r="A202" s="5">
        <v>42277</v>
      </c>
      <c r="B202">
        <v>-3.375591E-2</v>
      </c>
      <c r="C202">
        <v>-3.5692809999999998E-2</v>
      </c>
      <c r="D202">
        <v>-4.9906270000000003E-2</v>
      </c>
      <c r="E202">
        <v>-5.2202869999999998E-2</v>
      </c>
      <c r="F202">
        <v>-2.6442819999999999E-2</v>
      </c>
      <c r="G202">
        <v>1920.03</v>
      </c>
      <c r="H202">
        <v>26517581700</v>
      </c>
      <c r="I202">
        <v>7201</v>
      </c>
      <c r="J202">
        <v>27500874200</v>
      </c>
      <c r="K202">
        <v>7160</v>
      </c>
    </row>
    <row r="203" spans="1:11" x14ac:dyDescent="0.2">
      <c r="A203" s="5">
        <v>42307</v>
      </c>
      <c r="B203">
        <v>7.3937210000000003E-2</v>
      </c>
      <c r="C203">
        <v>7.2542140000000005E-2</v>
      </c>
      <c r="D203">
        <v>5.2851189999999999E-2</v>
      </c>
      <c r="E203">
        <v>5.149053E-2</v>
      </c>
      <c r="F203">
        <v>8.2983080000000001E-2</v>
      </c>
      <c r="G203">
        <v>2079.36</v>
      </c>
      <c r="H203">
        <v>28410069600</v>
      </c>
      <c r="I203">
        <v>7199</v>
      </c>
      <c r="J203">
        <v>26481812100</v>
      </c>
      <c r="K203">
        <v>7151</v>
      </c>
    </row>
    <row r="204" spans="1:11" x14ac:dyDescent="0.2">
      <c r="A204" s="5">
        <v>42338</v>
      </c>
      <c r="B204">
        <v>2.404462E-3</v>
      </c>
      <c r="C204">
        <v>1.3557120000000001E-4</v>
      </c>
      <c r="D204">
        <v>7.3261800000000007E-3</v>
      </c>
      <c r="E204">
        <v>5.427823E-3</v>
      </c>
      <c r="F204">
        <v>5.0496299999999998E-4</v>
      </c>
      <c r="G204">
        <v>2080.41</v>
      </c>
      <c r="H204">
        <v>28386930100</v>
      </c>
      <c r="I204">
        <v>7221</v>
      </c>
      <c r="J204">
        <v>28377993000</v>
      </c>
      <c r="K204">
        <v>7174</v>
      </c>
    </row>
    <row r="205" spans="1:11" x14ac:dyDescent="0.2">
      <c r="A205" s="5">
        <v>42369</v>
      </c>
      <c r="B205">
        <v>-2.2209320000000001E-2</v>
      </c>
      <c r="C205">
        <v>-2.4446820000000001E-2</v>
      </c>
      <c r="D205">
        <v>-3.5860410000000002E-2</v>
      </c>
      <c r="E205">
        <v>-3.942474E-2</v>
      </c>
      <c r="F205">
        <v>-1.7530199999999999E-2</v>
      </c>
      <c r="G205">
        <v>2043.94</v>
      </c>
      <c r="H205">
        <v>27693609400</v>
      </c>
      <c r="I205">
        <v>7206</v>
      </c>
      <c r="J205">
        <v>28302404500</v>
      </c>
      <c r="K205">
        <v>7175</v>
      </c>
    </row>
    <row r="206" spans="1:11" x14ac:dyDescent="0.2">
      <c r="A206" s="5">
        <v>42398</v>
      </c>
      <c r="B206">
        <v>-5.7084570000000001E-2</v>
      </c>
      <c r="C206">
        <v>-5.825251E-2</v>
      </c>
      <c r="D206">
        <v>-7.4934120000000007E-2</v>
      </c>
      <c r="E206">
        <v>-7.6158320000000002E-2</v>
      </c>
      <c r="F206">
        <v>-5.0735340000000004E-2</v>
      </c>
      <c r="G206">
        <v>1940.24</v>
      </c>
      <c r="H206">
        <v>26038944200</v>
      </c>
      <c r="I206">
        <v>7173</v>
      </c>
      <c r="J206">
        <v>27631606900</v>
      </c>
      <c r="K206">
        <v>7165</v>
      </c>
    </row>
    <row r="207" spans="1:11" x14ac:dyDescent="0.2">
      <c r="A207" s="5">
        <v>42429</v>
      </c>
      <c r="B207">
        <v>6.2028810000000001E-4</v>
      </c>
      <c r="C207">
        <v>-1.802126E-3</v>
      </c>
      <c r="D207">
        <v>5.5644470000000001E-3</v>
      </c>
      <c r="E207">
        <v>3.6362730000000002E-3</v>
      </c>
      <c r="F207">
        <v>-4.1283550000000002E-3</v>
      </c>
      <c r="G207">
        <v>1932.23</v>
      </c>
      <c r="H207">
        <v>25836208600</v>
      </c>
      <c r="I207">
        <v>7148</v>
      </c>
      <c r="J207">
        <v>25925950400</v>
      </c>
      <c r="K207">
        <v>7133</v>
      </c>
    </row>
    <row r="208" spans="1:11" x14ac:dyDescent="0.2">
      <c r="A208" s="5">
        <v>42460</v>
      </c>
      <c r="B208">
        <v>7.0491399999999996E-2</v>
      </c>
      <c r="C208">
        <v>6.8122280000000007E-2</v>
      </c>
      <c r="D208">
        <v>7.8181260000000002E-2</v>
      </c>
      <c r="E208">
        <v>7.5536880000000001E-2</v>
      </c>
      <c r="F208">
        <v>6.5991110000000006E-2</v>
      </c>
      <c r="G208">
        <v>2059.7399999999998</v>
      </c>
      <c r="H208">
        <v>27564246000</v>
      </c>
      <c r="I208">
        <v>7133</v>
      </c>
      <c r="J208">
        <v>25791630900</v>
      </c>
      <c r="K208">
        <v>7104</v>
      </c>
    </row>
    <row r="209" spans="1:11" x14ac:dyDescent="0.2">
      <c r="A209" s="5">
        <v>42489</v>
      </c>
      <c r="B209">
        <v>1.17175E-2</v>
      </c>
      <c r="C209">
        <v>1.048251E-2</v>
      </c>
      <c r="D209">
        <v>3.9818100000000002E-2</v>
      </c>
      <c r="E209">
        <v>3.858172E-2</v>
      </c>
      <c r="F209">
        <v>2.69937E-3</v>
      </c>
      <c r="G209">
        <v>2065.3000000000002</v>
      </c>
      <c r="H209">
        <v>27847743500</v>
      </c>
      <c r="I209">
        <v>7125</v>
      </c>
      <c r="J209">
        <v>27512562900</v>
      </c>
      <c r="K209">
        <v>7085</v>
      </c>
    </row>
    <row r="210" spans="1:11" x14ac:dyDescent="0.2">
      <c r="A210" s="5">
        <v>42521</v>
      </c>
      <c r="B210">
        <v>1.433951E-2</v>
      </c>
      <c r="C210">
        <v>1.192519E-2</v>
      </c>
      <c r="D210">
        <v>-5.8390269999999999E-4</v>
      </c>
      <c r="E210">
        <v>-2.3691290000000002E-3</v>
      </c>
      <c r="F210">
        <v>1.5329490000000001E-2</v>
      </c>
      <c r="G210">
        <v>2096.96</v>
      </c>
      <c r="H210">
        <v>28094901200</v>
      </c>
      <c r="I210">
        <v>7107</v>
      </c>
      <c r="J210">
        <v>27734290400</v>
      </c>
      <c r="K210">
        <v>7075</v>
      </c>
    </row>
    <row r="211" spans="1:11" x14ac:dyDescent="0.2">
      <c r="A211" s="5">
        <v>42551</v>
      </c>
      <c r="B211">
        <v>2.946602E-3</v>
      </c>
      <c r="C211">
        <v>8.751694E-4</v>
      </c>
      <c r="D211">
        <v>5.8474120000000006E-3</v>
      </c>
      <c r="E211">
        <v>3.0378010000000001E-3</v>
      </c>
      <c r="F211">
        <v>9.0607350000000003E-4</v>
      </c>
      <c r="G211">
        <v>2098.86</v>
      </c>
      <c r="H211">
        <v>28132418700</v>
      </c>
      <c r="I211">
        <v>7119</v>
      </c>
      <c r="J211">
        <v>28038732200</v>
      </c>
      <c r="K211">
        <v>7075</v>
      </c>
    </row>
    <row r="212" spans="1:11" x14ac:dyDescent="0.2">
      <c r="A212" s="5">
        <v>42580</v>
      </c>
      <c r="B212">
        <v>3.8814660000000001E-2</v>
      </c>
      <c r="C212">
        <v>3.756665E-2</v>
      </c>
      <c r="D212">
        <v>4.989971E-2</v>
      </c>
      <c r="E212">
        <v>4.8772299999999998E-2</v>
      </c>
      <c r="F212">
        <v>3.5609809999999999E-2</v>
      </c>
      <c r="G212">
        <v>2173.6</v>
      </c>
      <c r="H212">
        <v>29204697400</v>
      </c>
      <c r="I212">
        <v>7115</v>
      </c>
      <c r="J212">
        <v>28085002700</v>
      </c>
      <c r="K212">
        <v>7073</v>
      </c>
    </row>
    <row r="213" spans="1:11" x14ac:dyDescent="0.2">
      <c r="A213" s="5">
        <v>42613</v>
      </c>
      <c r="B213">
        <v>2.8002220000000002E-3</v>
      </c>
      <c r="C213">
        <v>4.6294430000000001E-4</v>
      </c>
      <c r="D213">
        <v>1.28725E-2</v>
      </c>
      <c r="E213">
        <v>1.1094960000000001E-2</v>
      </c>
      <c r="F213">
        <v>-1.219176E-3</v>
      </c>
      <c r="G213">
        <v>2170.9499999999998</v>
      </c>
      <c r="H213">
        <v>29220407000</v>
      </c>
      <c r="I213">
        <v>7075</v>
      </c>
      <c r="J213">
        <v>29178409100</v>
      </c>
      <c r="K213">
        <v>7052</v>
      </c>
    </row>
    <row r="214" spans="1:11" x14ac:dyDescent="0.2">
      <c r="A214" s="5">
        <v>42643</v>
      </c>
      <c r="B214">
        <v>3.0134420000000003E-3</v>
      </c>
      <c r="C214">
        <v>1.235372E-3</v>
      </c>
      <c r="D214">
        <v>1.5368400000000001E-2</v>
      </c>
      <c r="E214">
        <v>1.33872E-2</v>
      </c>
      <c r="F214">
        <v>-1.234483E-3</v>
      </c>
      <c r="G214">
        <v>2168.27</v>
      </c>
      <c r="H214">
        <v>29207005700</v>
      </c>
      <c r="I214">
        <v>7074</v>
      </c>
      <c r="J214">
        <v>29072471000</v>
      </c>
      <c r="K214">
        <v>7019</v>
      </c>
    </row>
    <row r="215" spans="1:11" x14ac:dyDescent="0.2">
      <c r="A215" s="5">
        <v>42674</v>
      </c>
      <c r="B215">
        <v>-2.1543730000000001E-2</v>
      </c>
      <c r="C215">
        <v>-2.2788539999999999E-2</v>
      </c>
      <c r="D215">
        <v>-3.9930420000000001E-2</v>
      </c>
      <c r="E215">
        <v>-4.1014090000000003E-2</v>
      </c>
      <c r="F215">
        <v>-1.9425620000000001E-2</v>
      </c>
      <c r="G215">
        <v>2126.15</v>
      </c>
      <c r="H215">
        <v>28568245700</v>
      </c>
      <c r="I215">
        <v>7084</v>
      </c>
      <c r="J215">
        <v>29175387800</v>
      </c>
      <c r="K215">
        <v>7039</v>
      </c>
    </row>
    <row r="216" spans="1:11" x14ac:dyDescent="0.2">
      <c r="A216" s="5">
        <v>42704</v>
      </c>
      <c r="B216">
        <v>4.0487590000000004E-2</v>
      </c>
      <c r="C216">
        <v>3.8039770000000001E-2</v>
      </c>
      <c r="D216">
        <v>5.0508290000000004E-2</v>
      </c>
      <c r="E216">
        <v>4.8693890000000004E-2</v>
      </c>
      <c r="F216">
        <v>3.4174450000000002E-2</v>
      </c>
      <c r="G216">
        <v>2198.81</v>
      </c>
      <c r="H216">
        <v>29672930700</v>
      </c>
      <c r="I216">
        <v>7075</v>
      </c>
      <c r="J216">
        <v>28535600300</v>
      </c>
      <c r="K216">
        <v>7041</v>
      </c>
    </row>
    <row r="217" spans="1:11" x14ac:dyDescent="0.2">
      <c r="A217" s="5">
        <v>42734</v>
      </c>
      <c r="B217">
        <v>1.876276E-2</v>
      </c>
      <c r="C217">
        <v>1.662545E-2</v>
      </c>
      <c r="D217">
        <v>1.5896879999999999E-2</v>
      </c>
      <c r="E217">
        <v>1.241654E-2</v>
      </c>
      <c r="F217">
        <v>1.8200750000000002E-2</v>
      </c>
      <c r="G217">
        <v>2238.83</v>
      </c>
      <c r="H217">
        <v>30181681700</v>
      </c>
      <c r="I217">
        <v>7055</v>
      </c>
      <c r="J217">
        <v>29617329700</v>
      </c>
      <c r="K217">
        <v>7025</v>
      </c>
    </row>
    <row r="218" spans="1:11" x14ac:dyDescent="0.2">
      <c r="A218" s="5">
        <v>42766</v>
      </c>
      <c r="B218">
        <v>2.2153329999999999E-2</v>
      </c>
      <c r="C218">
        <v>2.1130309999999999E-2</v>
      </c>
      <c r="D218">
        <v>2.5937080000000001E-2</v>
      </c>
      <c r="E218">
        <v>2.507964E-2</v>
      </c>
      <c r="F218">
        <v>1.7884340000000002E-2</v>
      </c>
      <c r="G218">
        <v>2278.87</v>
      </c>
      <c r="H218">
        <v>30883220600</v>
      </c>
      <c r="I218">
        <v>7055</v>
      </c>
      <c r="J218">
        <v>30133512500</v>
      </c>
      <c r="K218">
        <v>7025</v>
      </c>
    </row>
    <row r="219" spans="1:11" x14ac:dyDescent="0.2">
      <c r="A219" s="5">
        <v>42794</v>
      </c>
      <c r="B219">
        <v>3.2598380000000003E-2</v>
      </c>
      <c r="C219">
        <v>3.0495540000000002E-2</v>
      </c>
      <c r="D219">
        <v>1.7121150000000002E-2</v>
      </c>
      <c r="E219">
        <v>1.5546820000000001E-2</v>
      </c>
      <c r="F219">
        <v>3.7198260000000004E-2</v>
      </c>
      <c r="G219">
        <v>2363.64</v>
      </c>
      <c r="H219">
        <v>31835312700</v>
      </c>
      <c r="I219">
        <v>7048</v>
      </c>
      <c r="J219">
        <v>30826088700</v>
      </c>
      <c r="K219">
        <v>7028</v>
      </c>
    </row>
    <row r="220" spans="1:11" x14ac:dyDescent="0.2">
      <c r="A220" s="5">
        <v>42825</v>
      </c>
      <c r="B220">
        <v>2.061818E-3</v>
      </c>
      <c r="C220">
        <v>1.9142280000000001E-4</v>
      </c>
      <c r="D220">
        <v>6.3779460000000007E-3</v>
      </c>
      <c r="E220">
        <v>4.3933830000000007E-3</v>
      </c>
      <c r="F220">
        <v>-3.8923020000000003E-4</v>
      </c>
      <c r="G220">
        <v>2362.7199999999998</v>
      </c>
      <c r="H220">
        <v>31868616600</v>
      </c>
      <c r="I220">
        <v>7044</v>
      </c>
      <c r="J220">
        <v>31782351800</v>
      </c>
      <c r="K220">
        <v>7005</v>
      </c>
    </row>
    <row r="221" spans="1:11" x14ac:dyDescent="0.2">
      <c r="A221" s="5">
        <v>42853</v>
      </c>
      <c r="B221">
        <v>9.6550310000000014E-3</v>
      </c>
      <c r="C221">
        <v>8.5353270000000005E-3</v>
      </c>
      <c r="D221">
        <v>3.7090570000000004E-3</v>
      </c>
      <c r="E221">
        <v>2.7113490000000001E-3</v>
      </c>
      <c r="F221">
        <v>9.0912170000000004E-3</v>
      </c>
      <c r="G221">
        <v>2384.1999999999998</v>
      </c>
      <c r="H221">
        <v>32175901300</v>
      </c>
      <c r="I221">
        <v>7049</v>
      </c>
      <c r="J221">
        <v>31810985200</v>
      </c>
      <c r="K221">
        <v>7010</v>
      </c>
    </row>
    <row r="222" spans="1:11" x14ac:dyDescent="0.2">
      <c r="A222" s="5">
        <v>42886</v>
      </c>
      <c r="B222">
        <v>9.3348040000000004E-3</v>
      </c>
      <c r="C222">
        <v>6.9831560000000008E-3</v>
      </c>
      <c r="D222">
        <v>-1.130051E-2</v>
      </c>
      <c r="E222">
        <v>-1.299381E-2</v>
      </c>
      <c r="F222">
        <v>1.157621E-2</v>
      </c>
      <c r="G222">
        <v>2411.8000000000002</v>
      </c>
      <c r="H222">
        <v>32455379200</v>
      </c>
      <c r="I222">
        <v>7059</v>
      </c>
      <c r="J222">
        <v>32162257700</v>
      </c>
      <c r="K222">
        <v>7022</v>
      </c>
    </row>
    <row r="223" spans="1:11" x14ac:dyDescent="0.2">
      <c r="A223" s="5">
        <v>42916</v>
      </c>
      <c r="B223">
        <v>9.570691000000001E-3</v>
      </c>
      <c r="C223">
        <v>7.6897780000000004E-3</v>
      </c>
      <c r="D223">
        <v>2.2960350000000001E-2</v>
      </c>
      <c r="E223">
        <v>2.04914E-2</v>
      </c>
      <c r="F223">
        <v>4.8138320000000005E-3</v>
      </c>
      <c r="G223">
        <v>2423.41</v>
      </c>
      <c r="H223">
        <v>32721951700</v>
      </c>
      <c r="I223">
        <v>7071</v>
      </c>
      <c r="J223">
        <v>32356917200</v>
      </c>
      <c r="K223">
        <v>7021</v>
      </c>
    </row>
    <row r="224" spans="1:11" x14ac:dyDescent="0.2">
      <c r="A224" s="5">
        <v>42947</v>
      </c>
      <c r="B224">
        <v>2.0277440000000001E-2</v>
      </c>
      <c r="C224">
        <v>1.889323E-2</v>
      </c>
      <c r="D224">
        <v>9.0817320000000003E-3</v>
      </c>
      <c r="E224">
        <v>8.0240880000000004E-3</v>
      </c>
      <c r="F224">
        <v>1.9348770000000001E-2</v>
      </c>
      <c r="G224">
        <v>2470.3000000000002</v>
      </c>
      <c r="H224">
        <v>33260694300</v>
      </c>
      <c r="I224">
        <v>7053</v>
      </c>
      <c r="J224">
        <v>32597443900</v>
      </c>
      <c r="K224">
        <v>7020</v>
      </c>
    </row>
    <row r="225" spans="1:11" x14ac:dyDescent="0.2">
      <c r="A225" s="5">
        <v>42978</v>
      </c>
      <c r="B225">
        <v>1.6003310000000002E-3</v>
      </c>
      <c r="C225">
        <v>-6.3757910000000002E-4</v>
      </c>
      <c r="D225">
        <v>-8.7258630000000004E-3</v>
      </c>
      <c r="E225">
        <v>-1.0292020000000001E-2</v>
      </c>
      <c r="F225">
        <v>5.4649229999999998E-4</v>
      </c>
      <c r="G225">
        <v>2471.65</v>
      </c>
      <c r="H225">
        <v>33161382100</v>
      </c>
      <c r="I225">
        <v>7027</v>
      </c>
      <c r="J225">
        <v>33121788300</v>
      </c>
      <c r="K225">
        <v>6994</v>
      </c>
    </row>
    <row r="226" spans="1:11" x14ac:dyDescent="0.2">
      <c r="A226" s="5">
        <v>43007</v>
      </c>
      <c r="B226">
        <v>2.3729050000000002E-2</v>
      </c>
      <c r="C226">
        <v>2.212182E-2</v>
      </c>
      <c r="D226">
        <v>4.6844530000000002E-2</v>
      </c>
      <c r="E226">
        <v>4.4810920000000004E-2</v>
      </c>
      <c r="F226">
        <v>1.9302900000000001E-2</v>
      </c>
      <c r="G226">
        <v>2519.36</v>
      </c>
      <c r="H226">
        <v>33872736600</v>
      </c>
      <c r="I226">
        <v>6998</v>
      </c>
      <c r="J226">
        <v>32944820300</v>
      </c>
      <c r="K226">
        <v>6959</v>
      </c>
    </row>
    <row r="227" spans="1:11" x14ac:dyDescent="0.2">
      <c r="A227" s="5">
        <v>43039</v>
      </c>
      <c r="B227">
        <v>1.9274800000000002E-2</v>
      </c>
      <c r="C227">
        <v>1.8189500000000001E-2</v>
      </c>
      <c r="D227">
        <v>2.2387080000000003E-3</v>
      </c>
      <c r="E227">
        <v>1.223687E-3</v>
      </c>
      <c r="F227">
        <v>2.2188180000000002E-2</v>
      </c>
      <c r="G227">
        <v>2575.2600000000002</v>
      </c>
      <c r="H227">
        <v>34503792300</v>
      </c>
      <c r="I227">
        <v>7010</v>
      </c>
      <c r="J227">
        <v>33831353100</v>
      </c>
      <c r="K227">
        <v>6949</v>
      </c>
    </row>
    <row r="228" spans="1:11" x14ac:dyDescent="0.2">
      <c r="A228" s="5">
        <v>43069</v>
      </c>
      <c r="B228">
        <v>2.7231450000000001E-2</v>
      </c>
      <c r="C228">
        <v>2.4904590000000001E-2</v>
      </c>
      <c r="D228">
        <v>2.0842570000000001E-2</v>
      </c>
      <c r="E228">
        <v>1.9002720000000001E-2</v>
      </c>
      <c r="F228">
        <v>2.8082599999999999E-2</v>
      </c>
      <c r="G228">
        <v>2647.58</v>
      </c>
      <c r="H228">
        <v>35363870900</v>
      </c>
      <c r="I228">
        <v>7054</v>
      </c>
      <c r="J228">
        <v>34454451700</v>
      </c>
      <c r="K228">
        <v>6976</v>
      </c>
    </row>
    <row r="229" spans="1:11" x14ac:dyDescent="0.2">
      <c r="A229" s="5">
        <v>43098</v>
      </c>
      <c r="B229">
        <v>1.212235E-2</v>
      </c>
      <c r="C229">
        <v>1.026412E-2</v>
      </c>
      <c r="D229">
        <v>1.41853E-2</v>
      </c>
      <c r="E229">
        <v>1.110888E-2</v>
      </c>
      <c r="F229">
        <v>9.8316189999999998E-3</v>
      </c>
      <c r="G229">
        <v>2673.61</v>
      </c>
      <c r="H229">
        <v>35762263300</v>
      </c>
      <c r="I229">
        <v>7049</v>
      </c>
      <c r="J229">
        <v>35326404200</v>
      </c>
      <c r="K229">
        <v>7010</v>
      </c>
    </row>
    <row r="230" spans="1:11" x14ac:dyDescent="0.2">
      <c r="A230" s="5">
        <v>43131</v>
      </c>
      <c r="B230">
        <v>5.0576549999999998E-2</v>
      </c>
      <c r="C230">
        <v>4.9624660000000001E-2</v>
      </c>
      <c r="D230">
        <v>2.9440879999999999E-2</v>
      </c>
      <c r="E230">
        <v>2.8637340000000001E-2</v>
      </c>
      <c r="F230">
        <v>5.6178730000000003E-2</v>
      </c>
      <c r="G230">
        <v>2823.81</v>
      </c>
      <c r="H230">
        <v>37633761400</v>
      </c>
      <c r="I230">
        <v>7072</v>
      </c>
      <c r="J230">
        <v>35729374700</v>
      </c>
      <c r="K230">
        <v>7028</v>
      </c>
    </row>
    <row r="231" spans="1:11" x14ac:dyDescent="0.2">
      <c r="A231" s="5">
        <v>43159</v>
      </c>
      <c r="B231">
        <v>-3.9454500000000003E-2</v>
      </c>
      <c r="C231">
        <v>-4.1323430000000001E-2</v>
      </c>
      <c r="D231">
        <v>-4.0026079999999999E-2</v>
      </c>
      <c r="E231">
        <v>-4.1467799999999999E-2</v>
      </c>
      <c r="F231">
        <v>-3.8947380000000004E-2</v>
      </c>
      <c r="G231">
        <v>2713.83</v>
      </c>
      <c r="H231">
        <v>36048758800</v>
      </c>
      <c r="I231">
        <v>7093</v>
      </c>
      <c r="J231">
        <v>37611053800</v>
      </c>
      <c r="K231">
        <v>7048</v>
      </c>
    </row>
    <row r="232" spans="1:11" x14ac:dyDescent="0.2">
      <c r="A232" s="5">
        <v>43188</v>
      </c>
      <c r="B232">
        <v>-1.8421E-2</v>
      </c>
      <c r="C232">
        <v>-2.0287630000000001E-2</v>
      </c>
      <c r="D232">
        <v>1.2416130000000001E-3</v>
      </c>
      <c r="E232">
        <v>-1.0523490000000002E-3</v>
      </c>
      <c r="F232">
        <v>-2.688451E-2</v>
      </c>
      <c r="G232">
        <v>2640.87</v>
      </c>
      <c r="H232">
        <v>35275829200</v>
      </c>
      <c r="I232">
        <v>7095</v>
      </c>
      <c r="J232">
        <v>35996972900</v>
      </c>
      <c r="K232">
        <v>7061</v>
      </c>
    </row>
    <row r="233" spans="1:11" x14ac:dyDescent="0.2">
      <c r="A233" s="5">
        <v>43220</v>
      </c>
      <c r="B233">
        <v>4.6788350000000001E-3</v>
      </c>
      <c r="C233">
        <v>3.5698090000000002E-3</v>
      </c>
      <c r="D233">
        <v>8.169158000000001E-3</v>
      </c>
      <c r="E233">
        <v>7.0450100000000009E-3</v>
      </c>
      <c r="F233">
        <v>2.7188010000000003E-3</v>
      </c>
      <c r="G233">
        <v>2648.05</v>
      </c>
      <c r="H233">
        <v>35404765000</v>
      </c>
      <c r="I233">
        <v>7085</v>
      </c>
      <c r="J233">
        <v>35204863100</v>
      </c>
      <c r="K233">
        <v>6993</v>
      </c>
    </row>
    <row r="234" spans="1:11" x14ac:dyDescent="0.2">
      <c r="A234" s="5">
        <v>43251</v>
      </c>
      <c r="B234">
        <v>2.6145640000000001E-2</v>
      </c>
      <c r="C234">
        <v>2.3849470000000001E-2</v>
      </c>
      <c r="D234">
        <v>3.4593409999999998E-2</v>
      </c>
      <c r="E234">
        <v>3.2893459999999999E-2</v>
      </c>
      <c r="F234">
        <v>2.1608350000000002E-2</v>
      </c>
      <c r="G234">
        <v>2705.27</v>
      </c>
      <c r="H234">
        <v>36297913200</v>
      </c>
      <c r="I234">
        <v>7107</v>
      </c>
      <c r="J234">
        <v>35377254400</v>
      </c>
      <c r="K234">
        <v>7052</v>
      </c>
    </row>
    <row r="235" spans="1:11" x14ac:dyDescent="0.2">
      <c r="A235" s="5">
        <v>43280</v>
      </c>
      <c r="B235">
        <v>5.3594790000000003E-3</v>
      </c>
      <c r="C235">
        <v>3.5755930000000002E-3</v>
      </c>
      <c r="D235">
        <v>2.7898560000000003E-3</v>
      </c>
      <c r="E235">
        <v>3.9227889999999997E-5</v>
      </c>
      <c r="F235">
        <v>4.8424000000000002E-3</v>
      </c>
      <c r="G235">
        <v>2718.37</v>
      </c>
      <c r="H235">
        <v>36323454600</v>
      </c>
      <c r="I235">
        <v>7133</v>
      </c>
      <c r="J235">
        <v>36137279000</v>
      </c>
      <c r="K235">
        <v>7066</v>
      </c>
    </row>
    <row r="236" spans="1:11" x14ac:dyDescent="0.2">
      <c r="A236" s="5">
        <v>43312</v>
      </c>
      <c r="B236">
        <v>3.157314E-2</v>
      </c>
      <c r="C236">
        <v>3.0436379999999999E-2</v>
      </c>
      <c r="D236">
        <v>6.8374520000000008E-3</v>
      </c>
      <c r="E236">
        <v>5.7955990000000002E-3</v>
      </c>
      <c r="F236">
        <v>3.6021589999999999E-2</v>
      </c>
      <c r="G236">
        <v>2816.29</v>
      </c>
      <c r="H236">
        <v>37418001100</v>
      </c>
      <c r="I236">
        <v>7159</v>
      </c>
      <c r="J236">
        <v>36249435600</v>
      </c>
      <c r="K236">
        <v>7104</v>
      </c>
    </row>
    <row r="237" spans="1:11" x14ac:dyDescent="0.2">
      <c r="A237" s="5">
        <v>43343</v>
      </c>
      <c r="B237">
        <v>3.0233019999999999E-2</v>
      </c>
      <c r="C237">
        <v>2.7765439999999999E-2</v>
      </c>
      <c r="D237">
        <v>1.920053E-2</v>
      </c>
      <c r="E237">
        <v>1.726227E-2</v>
      </c>
      <c r="F237">
        <v>3.026322E-2</v>
      </c>
      <c r="G237">
        <v>2901.52</v>
      </c>
      <c r="H237">
        <v>38384784200</v>
      </c>
      <c r="I237">
        <v>7165</v>
      </c>
      <c r="J237">
        <v>37352629400</v>
      </c>
      <c r="K237">
        <v>7129</v>
      </c>
    </row>
    <row r="238" spans="1:11" x14ac:dyDescent="0.2">
      <c r="A238" s="5">
        <v>43371</v>
      </c>
      <c r="B238">
        <v>4.2462020000000002E-4</v>
      </c>
      <c r="C238">
        <v>-1.211915E-3</v>
      </c>
      <c r="D238">
        <v>-1.0332350000000001E-2</v>
      </c>
      <c r="E238">
        <v>-1.2399439999999999E-2</v>
      </c>
      <c r="F238">
        <v>4.2943010000000004E-3</v>
      </c>
      <c r="G238">
        <v>2913.98</v>
      </c>
      <c r="H238">
        <v>38308562100</v>
      </c>
      <c r="I238">
        <v>7192</v>
      </c>
      <c r="J238">
        <v>38341208200</v>
      </c>
      <c r="K238">
        <v>7138</v>
      </c>
    </row>
    <row r="239" spans="1:11" x14ac:dyDescent="0.2">
      <c r="A239" s="5">
        <v>43404</v>
      </c>
      <c r="B239">
        <v>-7.4045380000000008E-2</v>
      </c>
      <c r="C239">
        <v>-7.5113070000000004E-2</v>
      </c>
      <c r="D239">
        <v>-8.2374849999999999E-2</v>
      </c>
      <c r="E239">
        <v>-8.3352679999999998E-2</v>
      </c>
      <c r="F239">
        <v>-6.9403359999999997E-2</v>
      </c>
      <c r="G239">
        <v>2711.74</v>
      </c>
      <c r="H239">
        <v>35448633000</v>
      </c>
      <c r="I239">
        <v>7218</v>
      </c>
      <c r="J239">
        <v>38172751300</v>
      </c>
      <c r="K239">
        <v>7155</v>
      </c>
    </row>
    <row r="240" spans="1:11" x14ac:dyDescent="0.2">
      <c r="A240" s="5">
        <v>43434</v>
      </c>
      <c r="B240">
        <v>1.851214E-2</v>
      </c>
      <c r="C240">
        <v>1.6171069999999999E-2</v>
      </c>
      <c r="D240">
        <v>6.5649429999999997E-4</v>
      </c>
      <c r="E240">
        <v>-1.1523400000000002E-3</v>
      </c>
      <c r="F240">
        <v>1.7859380000000001E-2</v>
      </c>
      <c r="G240">
        <v>2760.17</v>
      </c>
      <c r="H240">
        <v>35936127600</v>
      </c>
      <c r="I240">
        <v>7225</v>
      </c>
      <c r="J240">
        <v>35322087000</v>
      </c>
      <c r="K240">
        <v>7183</v>
      </c>
    </row>
    <row r="241" spans="1:11" x14ac:dyDescent="0.2">
      <c r="A241" s="5">
        <v>43465</v>
      </c>
      <c r="B241">
        <v>-8.9890060000000008E-2</v>
      </c>
      <c r="C241">
        <v>-9.2124399999999995E-2</v>
      </c>
      <c r="D241">
        <v>-9.9321050000000008E-2</v>
      </c>
      <c r="E241">
        <v>-0.10287499999999999</v>
      </c>
      <c r="F241">
        <v>-9.1776949999999996E-2</v>
      </c>
      <c r="G241">
        <v>2506.85</v>
      </c>
      <c r="H241">
        <v>32574916300</v>
      </c>
      <c r="I241">
        <v>7206</v>
      </c>
      <c r="J241">
        <v>35798663400</v>
      </c>
      <c r="K241">
        <v>7161</v>
      </c>
    </row>
    <row r="242" spans="1:11" x14ac:dyDescent="0.2">
      <c r="A242" s="5">
        <v>43496</v>
      </c>
      <c r="B242">
        <v>8.8293910000000003E-2</v>
      </c>
      <c r="C242">
        <v>8.7067279999999997E-2</v>
      </c>
      <c r="D242">
        <v>0.1202603</v>
      </c>
      <c r="E242">
        <v>0.1193404</v>
      </c>
      <c r="F242">
        <v>7.8684400000000002E-2</v>
      </c>
      <c r="G242">
        <v>2704.1</v>
      </c>
      <c r="H242">
        <v>35370181000</v>
      </c>
      <c r="I242">
        <v>7204</v>
      </c>
      <c r="J242">
        <v>32534069700</v>
      </c>
      <c r="K242">
        <v>7168</v>
      </c>
    </row>
    <row r="243" spans="1:11" x14ac:dyDescent="0.2">
      <c r="A243" s="5">
        <v>43524</v>
      </c>
      <c r="B243">
        <v>3.2724210000000004E-2</v>
      </c>
      <c r="C243">
        <v>3.0666189999999999E-2</v>
      </c>
      <c r="D243">
        <v>3.8571649999999999E-2</v>
      </c>
      <c r="E243">
        <v>3.7065050000000002E-2</v>
      </c>
      <c r="F243">
        <v>2.9728930000000001E-2</v>
      </c>
      <c r="G243">
        <v>2784.49</v>
      </c>
      <c r="H243">
        <v>36362507000</v>
      </c>
      <c r="I243">
        <v>7186</v>
      </c>
      <c r="J243">
        <v>35314708900</v>
      </c>
      <c r="K243">
        <v>7156</v>
      </c>
    </row>
    <row r="244" spans="1:11" x14ac:dyDescent="0.2">
      <c r="A244" s="5">
        <v>43553</v>
      </c>
      <c r="B244">
        <v>1.296229E-2</v>
      </c>
      <c r="C244">
        <v>1.114004E-2</v>
      </c>
      <c r="D244">
        <v>-3.9077920000000002E-3</v>
      </c>
      <c r="E244">
        <v>-6.0865720000000002E-3</v>
      </c>
      <c r="F244">
        <v>1.7924289999999999E-2</v>
      </c>
      <c r="G244">
        <v>2834.4</v>
      </c>
      <c r="H244">
        <v>36757421800</v>
      </c>
      <c r="I244">
        <v>7181</v>
      </c>
      <c r="J244">
        <v>36247026100</v>
      </c>
      <c r="K244">
        <v>7141</v>
      </c>
    </row>
    <row r="245" spans="1:11" x14ac:dyDescent="0.2">
      <c r="A245" s="5">
        <v>43585</v>
      </c>
      <c r="B245">
        <v>3.789327E-2</v>
      </c>
      <c r="C245">
        <v>3.6700049999999998E-2</v>
      </c>
      <c r="D245">
        <v>2.0354650000000002E-2</v>
      </c>
      <c r="E245">
        <v>1.9162120000000001E-2</v>
      </c>
      <c r="F245">
        <v>3.9313439999999998E-2</v>
      </c>
      <c r="G245">
        <v>2945.83</v>
      </c>
      <c r="H245">
        <v>38105983000</v>
      </c>
      <c r="I245">
        <v>7195</v>
      </c>
      <c r="J245">
        <v>36716878700</v>
      </c>
      <c r="K245">
        <v>7145</v>
      </c>
    </row>
    <row r="246" spans="1:11" x14ac:dyDescent="0.2">
      <c r="A246" s="5">
        <v>43616</v>
      </c>
      <c r="B246">
        <v>-6.167856E-2</v>
      </c>
      <c r="C246">
        <v>-6.3898140000000006E-2</v>
      </c>
      <c r="D246">
        <v>-6.4571440000000008E-2</v>
      </c>
      <c r="E246">
        <v>-6.6402310000000006E-2</v>
      </c>
      <c r="F246">
        <v>-6.5777730000000006E-2</v>
      </c>
      <c r="G246">
        <v>2752.06</v>
      </c>
      <c r="H246">
        <v>35726100000</v>
      </c>
      <c r="I246">
        <v>7232</v>
      </c>
      <c r="J246">
        <v>38083433400</v>
      </c>
      <c r="K246">
        <v>7165</v>
      </c>
    </row>
    <row r="247" spans="1:11" x14ac:dyDescent="0.2">
      <c r="A247" s="5">
        <v>43644</v>
      </c>
      <c r="B247">
        <v>6.7278859999999996E-2</v>
      </c>
      <c r="C247">
        <v>6.5283019999999997E-2</v>
      </c>
      <c r="D247">
        <v>4.9001820000000001E-2</v>
      </c>
      <c r="E247">
        <v>4.609444E-2</v>
      </c>
      <c r="F247">
        <v>6.8930190000000002E-2</v>
      </c>
      <c r="G247">
        <v>2941.76</v>
      </c>
      <c r="H247">
        <v>38172873400</v>
      </c>
      <c r="I247">
        <v>7253</v>
      </c>
      <c r="J247">
        <v>35715049000</v>
      </c>
      <c r="K247">
        <v>7207</v>
      </c>
    </row>
    <row r="248" spans="1:11" x14ac:dyDescent="0.2">
      <c r="A248" s="5">
        <v>43677</v>
      </c>
      <c r="B248">
        <v>1.1854390000000001E-2</v>
      </c>
      <c r="C248">
        <v>1.0701550000000001E-2</v>
      </c>
      <c r="D248">
        <v>-5.2448700000000004E-3</v>
      </c>
      <c r="E248">
        <v>-6.2804270000000008E-3</v>
      </c>
      <c r="F248">
        <v>1.312819E-2</v>
      </c>
      <c r="G248">
        <v>2980.38</v>
      </c>
      <c r="H248">
        <v>38562533000</v>
      </c>
      <c r="I248">
        <v>7270</v>
      </c>
      <c r="J248">
        <v>38035007900</v>
      </c>
      <c r="K248">
        <v>7212</v>
      </c>
    </row>
    <row r="249" spans="1:11" x14ac:dyDescent="0.2">
      <c r="A249" s="5">
        <v>43707</v>
      </c>
      <c r="B249">
        <v>-2.0339360000000001E-2</v>
      </c>
      <c r="C249">
        <v>-2.237192E-2</v>
      </c>
      <c r="D249">
        <v>-4.0001170000000003E-2</v>
      </c>
      <c r="E249">
        <v>-4.1598750000000004E-2</v>
      </c>
      <c r="F249">
        <v>-1.8091650000000001E-2</v>
      </c>
      <c r="G249">
        <v>2926.46</v>
      </c>
      <c r="H249">
        <v>37654748600</v>
      </c>
      <c r="I249">
        <v>7261</v>
      </c>
      <c r="J249">
        <v>38501630400</v>
      </c>
      <c r="K249">
        <v>7247</v>
      </c>
    </row>
    <row r="250" spans="1:11" x14ac:dyDescent="0.2">
      <c r="A250" s="5">
        <v>43738</v>
      </c>
      <c r="B250">
        <v>1.6033040000000002E-2</v>
      </c>
      <c r="C250">
        <v>1.4168980000000001E-2</v>
      </c>
      <c r="D250">
        <v>1.7680700000000001E-2</v>
      </c>
      <c r="E250">
        <v>1.5359660000000001E-2</v>
      </c>
      <c r="F250">
        <v>1.7181169999999999E-2</v>
      </c>
      <c r="G250">
        <v>2976.74</v>
      </c>
      <c r="H250">
        <v>38170395100</v>
      </c>
      <c r="I250">
        <v>7272</v>
      </c>
      <c r="J250">
        <v>37609437300</v>
      </c>
      <c r="K250">
        <v>7225</v>
      </c>
    </row>
    <row r="251" spans="1:11" x14ac:dyDescent="0.2">
      <c r="A251" s="5">
        <v>43769</v>
      </c>
      <c r="B251">
        <v>1.9257090000000001E-2</v>
      </c>
      <c r="C251">
        <v>1.8086480000000002E-2</v>
      </c>
      <c r="D251">
        <v>6.2907860000000005E-3</v>
      </c>
      <c r="E251">
        <v>5.2611890000000003E-3</v>
      </c>
      <c r="F251">
        <v>2.0431750000000002E-2</v>
      </c>
      <c r="G251">
        <v>3037.56</v>
      </c>
      <c r="H251">
        <v>38823462600</v>
      </c>
      <c r="I251">
        <v>7283</v>
      </c>
      <c r="J251">
        <v>38134082600</v>
      </c>
      <c r="K251">
        <v>7229</v>
      </c>
    </row>
    <row r="252" spans="1:11" x14ac:dyDescent="0.2">
      <c r="A252" s="5">
        <v>43798</v>
      </c>
      <c r="B252">
        <v>3.4999010000000004E-2</v>
      </c>
      <c r="C252">
        <v>3.2985779999999999E-2</v>
      </c>
      <c r="D252">
        <v>2.6600809999999999E-2</v>
      </c>
      <c r="E252">
        <v>2.4937670000000002E-2</v>
      </c>
      <c r="F252">
        <v>3.4047060000000004E-2</v>
      </c>
      <c r="G252">
        <v>3140.98</v>
      </c>
      <c r="H252">
        <v>40071128100</v>
      </c>
      <c r="I252">
        <v>7272</v>
      </c>
      <c r="J252">
        <v>38727728200</v>
      </c>
      <c r="K252">
        <v>7239</v>
      </c>
    </row>
    <row r="253" spans="1:11" x14ac:dyDescent="0.2">
      <c r="A253" s="5">
        <v>43830</v>
      </c>
      <c r="B253">
        <v>2.8488780000000002E-2</v>
      </c>
      <c r="C253">
        <v>2.6242390000000001E-2</v>
      </c>
      <c r="D253">
        <v>4.4379330000000002E-2</v>
      </c>
      <c r="E253">
        <v>4.0641219999999999E-2</v>
      </c>
      <c r="F253">
        <v>2.8589800000000002E-2</v>
      </c>
      <c r="G253">
        <v>3230.78</v>
      </c>
      <c r="H253">
        <v>41157248900</v>
      </c>
      <c r="I253">
        <v>7254</v>
      </c>
      <c r="J253">
        <v>39999922500</v>
      </c>
      <c r="K253">
        <v>7208</v>
      </c>
    </row>
    <row r="254" spans="1:11" x14ac:dyDescent="0.2">
      <c r="A254" s="5">
        <v>43861</v>
      </c>
      <c r="B254">
        <v>-1.727854E-3</v>
      </c>
      <c r="C254">
        <v>-2.8485930000000004E-3</v>
      </c>
      <c r="D254">
        <v>-1.3333640000000001E-2</v>
      </c>
      <c r="E254">
        <v>-1.420045E-2</v>
      </c>
      <c r="F254">
        <v>-1.62809E-3</v>
      </c>
      <c r="G254">
        <v>3225.52</v>
      </c>
      <c r="H254">
        <v>41059766800</v>
      </c>
      <c r="I254">
        <v>7267</v>
      </c>
      <c r="J254">
        <v>41115964400</v>
      </c>
      <c r="K254">
        <v>7225</v>
      </c>
    </row>
    <row r="255" spans="1:11" x14ac:dyDescent="0.2">
      <c r="A255" s="5">
        <v>43889</v>
      </c>
      <c r="B255">
        <v>-7.7917990000000006E-2</v>
      </c>
      <c r="C255">
        <v>-7.9867580000000007E-2</v>
      </c>
      <c r="D255">
        <v>-6.9814470000000003E-2</v>
      </c>
      <c r="E255">
        <v>-7.1321309999999999E-2</v>
      </c>
      <c r="F255">
        <v>-8.4110470000000007E-2</v>
      </c>
      <c r="G255">
        <v>2954.22</v>
      </c>
      <c r="H255">
        <v>37777535300</v>
      </c>
      <c r="I255">
        <v>7253</v>
      </c>
      <c r="J255">
        <v>41042528300</v>
      </c>
      <c r="K255">
        <v>7213</v>
      </c>
    </row>
    <row r="256" spans="1:11" x14ac:dyDescent="0.2">
      <c r="A256" s="5">
        <v>43921</v>
      </c>
      <c r="B256">
        <v>-0.14173269999999999</v>
      </c>
      <c r="C256">
        <v>-0.14368519999999999</v>
      </c>
      <c r="D256">
        <v>-0.20750269999999998</v>
      </c>
      <c r="E256">
        <v>-0.20977279999999998</v>
      </c>
      <c r="F256">
        <v>-0.12511929999999999</v>
      </c>
      <c r="G256">
        <v>2584.59</v>
      </c>
      <c r="H256">
        <v>32333521600</v>
      </c>
      <c r="I256">
        <v>7226</v>
      </c>
      <c r="J256">
        <v>37748194600</v>
      </c>
      <c r="K256">
        <v>7209</v>
      </c>
    </row>
    <row r="257" spans="1:11" x14ac:dyDescent="0.2">
      <c r="A257" s="5">
        <v>43951</v>
      </c>
      <c r="B257">
        <v>0.12967380000000001</v>
      </c>
      <c r="C257">
        <v>0.1284081</v>
      </c>
      <c r="D257">
        <v>0.15386749999999999</v>
      </c>
      <c r="E257">
        <v>0.15251889999999999</v>
      </c>
      <c r="F257">
        <v>0.12684409999999999</v>
      </c>
      <c r="G257">
        <v>2912.43</v>
      </c>
      <c r="H257">
        <v>36503289300</v>
      </c>
      <c r="I257">
        <v>7224</v>
      </c>
      <c r="J257">
        <v>32234533100</v>
      </c>
      <c r="K257">
        <v>7195</v>
      </c>
    </row>
    <row r="258" spans="1:11" x14ac:dyDescent="0.2">
      <c r="A258" s="5">
        <v>43980</v>
      </c>
      <c r="B258">
        <v>5.3738750000000002E-2</v>
      </c>
      <c r="C258">
        <v>5.1688390000000001E-2</v>
      </c>
      <c r="D258">
        <v>6.4069500000000001E-2</v>
      </c>
      <c r="E258">
        <v>6.2276940000000003E-2</v>
      </c>
      <c r="F258">
        <v>4.5281780000000001E-2</v>
      </c>
      <c r="G258">
        <v>3044.31</v>
      </c>
      <c r="H258">
        <v>38384814300</v>
      </c>
      <c r="I258">
        <v>7217</v>
      </c>
      <c r="J258">
        <v>36424259100</v>
      </c>
      <c r="K258">
        <v>7187</v>
      </c>
    </row>
    <row r="259" spans="1:11" x14ac:dyDescent="0.2">
      <c r="A259" s="5">
        <v>44012</v>
      </c>
      <c r="B259">
        <v>2.529909E-2</v>
      </c>
      <c r="C259">
        <v>2.3522049999999999E-2</v>
      </c>
      <c r="D259">
        <v>5.7391000000000005E-2</v>
      </c>
      <c r="E259">
        <v>5.4855430000000004E-2</v>
      </c>
      <c r="F259">
        <v>1.8388399999999999E-2</v>
      </c>
      <c r="G259">
        <v>3100.29</v>
      </c>
      <c r="H259">
        <v>39436685700</v>
      </c>
      <c r="I259">
        <v>7244</v>
      </c>
      <c r="J259">
        <v>38363515600</v>
      </c>
      <c r="K259">
        <v>7177</v>
      </c>
    </row>
    <row r="260" spans="1:11" x14ac:dyDescent="0.2">
      <c r="A260" s="5">
        <v>44043</v>
      </c>
      <c r="B260">
        <v>5.5531490000000003E-2</v>
      </c>
      <c r="C260">
        <v>5.4410739999999999E-2</v>
      </c>
      <c r="D260">
        <v>4.0736519999999998E-2</v>
      </c>
      <c r="E260">
        <v>3.9670980000000002E-2</v>
      </c>
      <c r="F260">
        <v>5.5101299999999999E-2</v>
      </c>
      <c r="G260">
        <v>3271.12</v>
      </c>
      <c r="H260">
        <v>41718913900</v>
      </c>
      <c r="I260">
        <v>7273</v>
      </c>
      <c r="J260">
        <v>39414866800</v>
      </c>
      <c r="K260">
        <v>7212</v>
      </c>
    </row>
    <row r="261" spans="1:11" x14ac:dyDescent="0.2">
      <c r="A261" s="5">
        <v>44074</v>
      </c>
      <c r="B261">
        <v>6.8442199999999995E-2</v>
      </c>
      <c r="C261">
        <v>6.6798140000000006E-2</v>
      </c>
      <c r="D261">
        <v>3.8883790000000001E-2</v>
      </c>
      <c r="E261">
        <v>3.7314689999999998E-2</v>
      </c>
      <c r="F261">
        <v>7.0064689999999999E-2</v>
      </c>
      <c r="G261">
        <v>3500.31</v>
      </c>
      <c r="H261">
        <v>44609398900</v>
      </c>
      <c r="I261">
        <v>7286</v>
      </c>
      <c r="J261">
        <v>41706838700</v>
      </c>
      <c r="K261">
        <v>7230</v>
      </c>
    </row>
    <row r="262" spans="1:11" x14ac:dyDescent="0.2">
      <c r="A262" s="5">
        <v>44104</v>
      </c>
      <c r="B262">
        <v>-3.5055990000000002E-2</v>
      </c>
      <c r="C262">
        <v>-3.6514669999999999E-2</v>
      </c>
      <c r="D262">
        <v>-2.7356479999999999E-2</v>
      </c>
      <c r="E262">
        <v>-2.926368E-2</v>
      </c>
      <c r="F262">
        <v>-3.9227959999999999E-2</v>
      </c>
      <c r="G262">
        <v>3363</v>
      </c>
      <c r="H262">
        <v>43121774400</v>
      </c>
      <c r="I262">
        <v>7336</v>
      </c>
      <c r="J262">
        <v>44602546000</v>
      </c>
      <c r="K262">
        <v>7249</v>
      </c>
    </row>
    <row r="263" spans="1:11" x14ac:dyDescent="0.2">
      <c r="A263" s="5">
        <v>44134</v>
      </c>
      <c r="B263">
        <v>-2.0178310000000001E-2</v>
      </c>
      <c r="C263">
        <v>-2.1217699999999999E-2</v>
      </c>
      <c r="D263">
        <v>5.8398050000000006E-4</v>
      </c>
      <c r="E263">
        <v>-4.8349650000000004E-4</v>
      </c>
      <c r="F263">
        <v>-2.7665780000000001E-2</v>
      </c>
      <c r="G263">
        <v>3269.96</v>
      </c>
      <c r="H263">
        <v>42298178300</v>
      </c>
      <c r="I263">
        <v>7397</v>
      </c>
      <c r="J263">
        <v>43027003200</v>
      </c>
      <c r="K263">
        <v>7289</v>
      </c>
    </row>
    <row r="264" spans="1:11" x14ac:dyDescent="0.2">
      <c r="A264" s="5">
        <v>44165</v>
      </c>
      <c r="B264">
        <v>0.123707</v>
      </c>
      <c r="C264">
        <v>0.1220188</v>
      </c>
      <c r="D264">
        <v>0.17441209999999999</v>
      </c>
      <c r="E264">
        <v>0.17253009999999999</v>
      </c>
      <c r="F264">
        <v>0.10754569999999999</v>
      </c>
      <c r="G264">
        <v>3621.63</v>
      </c>
      <c r="H264">
        <v>47542006400</v>
      </c>
      <c r="I264">
        <v>7457</v>
      </c>
      <c r="J264">
        <v>42190157200</v>
      </c>
      <c r="K264">
        <v>7363</v>
      </c>
    </row>
    <row r="265" spans="1:11" x14ac:dyDescent="0.2">
      <c r="A265" s="5">
        <v>44196</v>
      </c>
      <c r="B265">
        <v>4.5048299999999999E-2</v>
      </c>
      <c r="C265">
        <v>4.324364E-2</v>
      </c>
      <c r="D265">
        <v>7.2852890000000003E-2</v>
      </c>
      <c r="E265">
        <v>6.9761260000000005E-2</v>
      </c>
      <c r="F265">
        <v>3.7121410000000001E-2</v>
      </c>
      <c r="G265">
        <v>3756.07</v>
      </c>
      <c r="H265">
        <v>49839562000</v>
      </c>
      <c r="I265">
        <v>7525</v>
      </c>
      <c r="J265">
        <v>47504425700</v>
      </c>
      <c r="K265">
        <v>7418</v>
      </c>
    </row>
    <row r="266" spans="1:11" x14ac:dyDescent="0.2">
      <c r="A266" s="5">
        <v>44225</v>
      </c>
      <c r="B266">
        <v>-6.3112699999999999E-4</v>
      </c>
      <c r="C266">
        <v>-1.6106510000000001E-3</v>
      </c>
      <c r="D266">
        <v>7.3191809999999996E-2</v>
      </c>
      <c r="E266">
        <v>7.2452740000000002E-2</v>
      </c>
      <c r="F266">
        <v>-1.113664E-2</v>
      </c>
      <c r="G266">
        <v>3714.24</v>
      </c>
      <c r="H266">
        <v>49930875500</v>
      </c>
      <c r="I266">
        <v>7606</v>
      </c>
      <c r="J266">
        <v>49779164700</v>
      </c>
      <c r="K266">
        <v>7505</v>
      </c>
    </row>
    <row r="267" spans="1:11" x14ac:dyDescent="0.2">
      <c r="A267" s="5">
        <v>44253</v>
      </c>
      <c r="B267">
        <v>2.919625E-2</v>
      </c>
      <c r="C267">
        <v>2.7887910000000002E-2</v>
      </c>
      <c r="D267">
        <v>6.7527760000000006E-2</v>
      </c>
      <c r="E267">
        <v>6.6369850000000008E-2</v>
      </c>
      <c r="F267">
        <v>2.609148E-2</v>
      </c>
      <c r="G267">
        <v>3811.15</v>
      </c>
      <c r="H267">
        <v>51546805100</v>
      </c>
      <c r="I267">
        <v>7692</v>
      </c>
      <c r="J267">
        <v>49917480300</v>
      </c>
      <c r="K267">
        <v>7587</v>
      </c>
    </row>
    <row r="268" spans="1:11" x14ac:dyDescent="0.2">
      <c r="A268" s="5">
        <v>44286</v>
      </c>
      <c r="B268">
        <v>3.0573300000000001E-2</v>
      </c>
      <c r="C268">
        <v>2.9086130000000002E-2</v>
      </c>
      <c r="D268">
        <v>1.2448880000000001E-2</v>
      </c>
      <c r="E268">
        <v>1.0736020000000001E-2</v>
      </c>
      <c r="F268">
        <v>4.2438629999999998E-2</v>
      </c>
      <c r="G268">
        <v>3972.89</v>
      </c>
      <c r="H268">
        <v>53473752300</v>
      </c>
      <c r="I268">
        <v>7838</v>
      </c>
      <c r="J268">
        <v>51515506300</v>
      </c>
      <c r="K268">
        <v>7643</v>
      </c>
    </row>
    <row r="269" spans="1:11" x14ac:dyDescent="0.2">
      <c r="A269" s="5">
        <v>44316</v>
      </c>
      <c r="B269">
        <v>4.8190190000000001E-2</v>
      </c>
      <c r="C269">
        <v>4.7300849999999998E-2</v>
      </c>
      <c r="D269">
        <v>1.661203E-2</v>
      </c>
      <c r="E269">
        <v>1.580488E-2</v>
      </c>
      <c r="F269">
        <v>5.2425310000000003E-2</v>
      </c>
      <c r="G269">
        <v>4181.17</v>
      </c>
      <c r="H269">
        <v>56258381800</v>
      </c>
      <c r="I269">
        <v>7978</v>
      </c>
      <c r="J269">
        <v>53409856400</v>
      </c>
      <c r="K269">
        <v>7798</v>
      </c>
    </row>
    <row r="270" spans="1:11" x14ac:dyDescent="0.2">
      <c r="A270" s="5">
        <v>44344</v>
      </c>
      <c r="B270">
        <v>7.0918620000000009E-3</v>
      </c>
      <c r="C270">
        <v>5.7859090000000005E-3</v>
      </c>
      <c r="D270">
        <v>1.317869E-2</v>
      </c>
      <c r="E270">
        <v>1.199509E-2</v>
      </c>
      <c r="F270">
        <v>5.4865030000000002E-3</v>
      </c>
      <c r="G270">
        <v>4204.1099999999997</v>
      </c>
      <c r="H270">
        <v>56748766000</v>
      </c>
      <c r="I270">
        <v>8085</v>
      </c>
      <c r="J270">
        <v>56229963600</v>
      </c>
      <c r="K270">
        <v>7957</v>
      </c>
    </row>
    <row r="271" spans="1:11" x14ac:dyDescent="0.2">
      <c r="A271" s="5">
        <v>44377</v>
      </c>
      <c r="B271">
        <v>2.34218E-2</v>
      </c>
      <c r="C271">
        <v>2.202084E-2</v>
      </c>
      <c r="D271">
        <v>2.14816E-2</v>
      </c>
      <c r="E271">
        <v>1.9631300000000001E-2</v>
      </c>
      <c r="F271">
        <v>2.2213980000000001E-2</v>
      </c>
      <c r="G271">
        <v>4297.5</v>
      </c>
      <c r="H271">
        <v>58260341100</v>
      </c>
      <c r="I271">
        <v>8186</v>
      </c>
      <c r="J271">
        <v>56708000200</v>
      </c>
      <c r="K271">
        <v>8053</v>
      </c>
    </row>
    <row r="272" spans="1:11" x14ac:dyDescent="0.2">
      <c r="A272" s="5">
        <v>44407</v>
      </c>
      <c r="B272">
        <v>1.1827799999999999E-2</v>
      </c>
      <c r="C272">
        <v>1.095232E-2</v>
      </c>
      <c r="D272">
        <v>-3.3643949999999999E-2</v>
      </c>
      <c r="E272">
        <v>-3.4465229999999999E-2</v>
      </c>
      <c r="F272">
        <v>2.2748110000000002E-2</v>
      </c>
      <c r="G272">
        <v>4395.26</v>
      </c>
      <c r="H272">
        <v>59040495900</v>
      </c>
      <c r="I272">
        <v>8310</v>
      </c>
      <c r="J272">
        <v>58160535600</v>
      </c>
      <c r="K272">
        <v>8161</v>
      </c>
    </row>
    <row r="273" spans="1:11" x14ac:dyDescent="0.2">
      <c r="A273" s="5">
        <v>44439</v>
      </c>
      <c r="B273">
        <v>2.714637E-2</v>
      </c>
      <c r="C273">
        <v>2.5841430000000002E-2</v>
      </c>
      <c r="D273">
        <v>1.88918E-2</v>
      </c>
      <c r="E273">
        <v>1.7615370000000002E-2</v>
      </c>
      <c r="F273">
        <v>2.899032E-2</v>
      </c>
      <c r="G273">
        <v>4522.68</v>
      </c>
      <c r="H273">
        <v>60680121800</v>
      </c>
      <c r="I273">
        <v>8367</v>
      </c>
      <c r="J273">
        <v>58990808700</v>
      </c>
      <c r="K273">
        <v>8280</v>
      </c>
    </row>
    <row r="274" spans="1:11" x14ac:dyDescent="0.2">
      <c r="A274" s="5">
        <v>44469</v>
      </c>
      <c r="B274">
        <v>-4.22434E-2</v>
      </c>
      <c r="C274">
        <v>-4.3531010000000002E-2</v>
      </c>
      <c r="D274">
        <v>-2.8472009999999999E-2</v>
      </c>
      <c r="E274">
        <v>-3.0083540000000002E-2</v>
      </c>
      <c r="F274">
        <v>-4.7569140000000003E-2</v>
      </c>
      <c r="G274">
        <v>4307.54</v>
      </c>
      <c r="H274">
        <v>58233532200</v>
      </c>
      <c r="I274">
        <v>8473</v>
      </c>
      <c r="J274">
        <v>60659056700</v>
      </c>
      <c r="K274">
        <v>8337</v>
      </c>
    </row>
    <row r="275" spans="1:11" x14ac:dyDescent="0.2">
      <c r="A275" s="5">
        <v>44498</v>
      </c>
      <c r="B275">
        <v>6.4650510000000008E-2</v>
      </c>
      <c r="C275">
        <v>6.375952E-2</v>
      </c>
      <c r="D275">
        <v>2.6557239999999999E-2</v>
      </c>
      <c r="E275">
        <v>2.5517450000000001E-2</v>
      </c>
      <c r="F275">
        <v>6.9143880000000005E-2</v>
      </c>
      <c r="G275">
        <v>4605.38</v>
      </c>
      <c r="H275">
        <v>62099642100</v>
      </c>
      <c r="I275">
        <v>8548</v>
      </c>
      <c r="J275">
        <v>58184961000</v>
      </c>
      <c r="K275">
        <v>8419</v>
      </c>
    </row>
    <row r="276" spans="1:11" x14ac:dyDescent="0.2">
      <c r="A276" s="5">
        <v>44530</v>
      </c>
      <c r="B276">
        <v>-1.8350490000000001E-2</v>
      </c>
      <c r="C276">
        <v>-1.9706600000000001E-2</v>
      </c>
      <c r="D276">
        <v>-4.6540369999999998E-2</v>
      </c>
      <c r="E276">
        <v>-4.791546E-2</v>
      </c>
      <c r="F276">
        <v>-8.3337310000000005E-3</v>
      </c>
      <c r="G276">
        <v>4567</v>
      </c>
      <c r="H276">
        <v>61045506600</v>
      </c>
      <c r="I276">
        <v>8644</v>
      </c>
      <c r="J276">
        <v>62050601400</v>
      </c>
      <c r="K276">
        <v>8513</v>
      </c>
    </row>
    <row r="277" spans="1:11" x14ac:dyDescent="0.2">
      <c r="A277" s="5">
        <v>44561</v>
      </c>
      <c r="B277">
        <v>3.3341229999999999E-2</v>
      </c>
      <c r="C277">
        <v>3.1573379999999998E-2</v>
      </c>
      <c r="D277">
        <v>-1.75968E-3</v>
      </c>
      <c r="E277">
        <v>-4.7992630000000007E-3</v>
      </c>
      <c r="F277">
        <v>4.361288E-2</v>
      </c>
      <c r="G277">
        <v>4766.18</v>
      </c>
      <c r="H277">
        <v>63178035300</v>
      </c>
      <c r="I277">
        <v>8750</v>
      </c>
      <c r="J277">
        <v>60960119400</v>
      </c>
      <c r="K277">
        <v>8598</v>
      </c>
    </row>
    <row r="278" spans="1:11" x14ac:dyDescent="0.2">
      <c r="A278" s="5">
        <v>44592</v>
      </c>
      <c r="B278">
        <v>-5.9822460000000001E-2</v>
      </c>
      <c r="C278">
        <v>-6.0567740000000002E-2</v>
      </c>
      <c r="D278">
        <v>-6.8191150000000006E-2</v>
      </c>
      <c r="E278">
        <v>-6.8868590000000007E-2</v>
      </c>
      <c r="F278">
        <v>-5.2585090000000001E-2</v>
      </c>
      <c r="G278">
        <v>4515.55</v>
      </c>
      <c r="H278">
        <v>59374130900</v>
      </c>
      <c r="I278">
        <v>8832</v>
      </c>
      <c r="J278">
        <v>63133811600</v>
      </c>
      <c r="K278">
        <v>8722</v>
      </c>
    </row>
    <row r="279" spans="1:11" x14ac:dyDescent="0.2">
      <c r="A279" s="5">
        <v>44620</v>
      </c>
      <c r="B279">
        <v>-2.183775E-2</v>
      </c>
      <c r="C279">
        <v>-2.3121269999999999E-2</v>
      </c>
      <c r="D279">
        <v>-7.4115200000000004E-3</v>
      </c>
      <c r="E279">
        <v>-8.3688510000000001E-3</v>
      </c>
      <c r="F279">
        <v>-3.1360520000000003E-2</v>
      </c>
      <c r="G279">
        <v>4373.9399999999996</v>
      </c>
      <c r="H279">
        <v>58049543000</v>
      </c>
      <c r="I279">
        <v>8891</v>
      </c>
      <c r="J279">
        <v>59232030100</v>
      </c>
      <c r="K279">
        <v>8798</v>
      </c>
    </row>
    <row r="280" spans="1:11" x14ac:dyDescent="0.2">
      <c r="A280" s="5">
        <v>44651</v>
      </c>
      <c r="B280">
        <v>3.050572E-2</v>
      </c>
      <c r="C280">
        <v>2.8940239999999999E-2</v>
      </c>
      <c r="D280">
        <v>1.5437670000000001E-2</v>
      </c>
      <c r="E280">
        <v>1.375854E-2</v>
      </c>
      <c r="F280">
        <v>3.5773239999999998E-2</v>
      </c>
      <c r="G280">
        <v>4530.41</v>
      </c>
      <c r="H280">
        <v>59709765700</v>
      </c>
      <c r="I280">
        <v>8917</v>
      </c>
      <c r="J280">
        <v>57979915900</v>
      </c>
      <c r="K280">
        <v>8854</v>
      </c>
    </row>
    <row r="281" spans="1:11" x14ac:dyDescent="0.2">
      <c r="A281" s="5">
        <v>44680</v>
      </c>
      <c r="B281">
        <v>-8.9386839999999995E-2</v>
      </c>
      <c r="C281">
        <v>-9.0294970000000002E-2</v>
      </c>
      <c r="D281">
        <v>-8.9641600000000002E-2</v>
      </c>
      <c r="E281">
        <v>-9.053746E-2</v>
      </c>
      <c r="F281">
        <v>-8.7956720000000002E-2</v>
      </c>
      <c r="G281">
        <v>4131.93</v>
      </c>
      <c r="H281">
        <v>54286656700</v>
      </c>
      <c r="I281">
        <v>8950</v>
      </c>
      <c r="J281">
        <v>59658549700</v>
      </c>
      <c r="K281">
        <v>8876</v>
      </c>
    </row>
    <row r="282" spans="1:11" x14ac:dyDescent="0.2">
      <c r="A282" s="5">
        <v>44712</v>
      </c>
      <c r="B282">
        <v>-2.1129410000000001E-3</v>
      </c>
      <c r="C282">
        <v>-3.7396760000000004E-3</v>
      </c>
      <c r="D282">
        <v>-1.610265E-2</v>
      </c>
      <c r="E282">
        <v>-1.742755E-2</v>
      </c>
      <c r="F282">
        <v>5.3243879999999999E-5</v>
      </c>
      <c r="G282">
        <v>4132.1499999999996</v>
      </c>
      <c r="H282">
        <v>54106918900</v>
      </c>
      <c r="I282">
        <v>8959</v>
      </c>
      <c r="J282">
        <v>54243165700</v>
      </c>
      <c r="K282">
        <v>8910</v>
      </c>
    </row>
    <row r="283" spans="1:11" x14ac:dyDescent="0.2">
      <c r="A283" s="5">
        <v>44742</v>
      </c>
      <c r="B283">
        <v>-8.3997500000000003E-2</v>
      </c>
      <c r="C283">
        <v>-8.5822030000000007E-2</v>
      </c>
      <c r="D283">
        <v>-6.8796739999999995E-2</v>
      </c>
      <c r="E283">
        <v>-7.1171949999999998E-2</v>
      </c>
      <c r="F283">
        <v>-8.391999E-2</v>
      </c>
      <c r="G283">
        <v>3785.38</v>
      </c>
      <c r="H283">
        <v>49439618100</v>
      </c>
      <c r="I283">
        <v>8978</v>
      </c>
      <c r="J283">
        <v>54052947100</v>
      </c>
      <c r="K283">
        <v>8924</v>
      </c>
    </row>
    <row r="284" spans="1:11" x14ac:dyDescent="0.2">
      <c r="A284" s="5">
        <v>44771</v>
      </c>
      <c r="B284">
        <v>9.0350750000000007E-2</v>
      </c>
      <c r="C284">
        <v>8.9287069999999996E-2</v>
      </c>
      <c r="D284">
        <v>6.5359589999999995E-2</v>
      </c>
      <c r="E284">
        <v>6.4300540000000003E-2</v>
      </c>
      <c r="F284">
        <v>9.1116349999999999E-2</v>
      </c>
      <c r="G284">
        <v>4130.29</v>
      </c>
      <c r="H284">
        <v>53809527800</v>
      </c>
      <c r="I284">
        <v>8982</v>
      </c>
      <c r="J284">
        <v>49383074900</v>
      </c>
      <c r="K284">
        <v>8941</v>
      </c>
    </row>
    <row r="285" spans="1:11" x14ac:dyDescent="0.2">
      <c r="A285" s="5">
        <v>44804</v>
      </c>
      <c r="B285">
        <v>-3.6233059999999997E-2</v>
      </c>
      <c r="C285">
        <v>-3.7917510000000001E-2</v>
      </c>
      <c r="D285">
        <v>-1.1554470000000001E-2</v>
      </c>
      <c r="E285">
        <v>-1.302472E-2</v>
      </c>
      <c r="F285">
        <v>-4.2440119999999998E-2</v>
      </c>
      <c r="G285">
        <v>3955</v>
      </c>
      <c r="H285">
        <v>51746391000</v>
      </c>
      <c r="I285">
        <v>8995</v>
      </c>
      <c r="J285">
        <v>53773954000</v>
      </c>
      <c r="K285">
        <v>8928</v>
      </c>
    </row>
    <row r="286" spans="1:11" x14ac:dyDescent="0.2">
      <c r="A286" s="5">
        <v>44834</v>
      </c>
      <c r="B286">
        <v>-9.1323000000000001E-2</v>
      </c>
      <c r="C286">
        <v>-9.3029769999999998E-2</v>
      </c>
      <c r="D286">
        <v>-9.9902530000000003E-2</v>
      </c>
      <c r="E286">
        <v>-0.10191839999999999</v>
      </c>
      <c r="F286">
        <v>-9.3395699999999998E-2</v>
      </c>
      <c r="G286">
        <v>3585.62</v>
      </c>
      <c r="H286">
        <v>46930636700</v>
      </c>
      <c r="I286">
        <v>9017</v>
      </c>
      <c r="J286">
        <v>51715356500</v>
      </c>
      <c r="K286">
        <v>8946</v>
      </c>
    </row>
    <row r="287" spans="1:11" x14ac:dyDescent="0.2">
      <c r="A287" s="5">
        <v>44865</v>
      </c>
      <c r="B287">
        <v>7.7393619999999996E-2</v>
      </c>
      <c r="C287">
        <v>7.6265380000000008E-2</v>
      </c>
      <c r="D287">
        <v>4.9862509999999999E-2</v>
      </c>
      <c r="E287">
        <v>4.8813599999999999E-2</v>
      </c>
      <c r="F287">
        <v>7.9863450000000002E-2</v>
      </c>
      <c r="G287">
        <v>3871.98</v>
      </c>
      <c r="H287">
        <v>50415353200</v>
      </c>
      <c r="I287">
        <v>8999</v>
      </c>
      <c r="J287">
        <v>46790742300</v>
      </c>
      <c r="K287">
        <v>8944</v>
      </c>
    </row>
    <row r="288" spans="1:11" x14ac:dyDescent="0.2">
      <c r="A288" s="5">
        <v>44895</v>
      </c>
      <c r="B288">
        <v>5.2353910000000003E-2</v>
      </c>
      <c r="C288">
        <v>5.0478960000000003E-2</v>
      </c>
      <c r="D288">
        <v>2.812274E-2</v>
      </c>
      <c r="E288">
        <v>2.656526E-2</v>
      </c>
      <c r="F288">
        <v>5.375286E-2</v>
      </c>
      <c r="G288">
        <v>4080.11</v>
      </c>
      <c r="H288">
        <v>52928742700</v>
      </c>
      <c r="I288">
        <v>8999</v>
      </c>
      <c r="J288">
        <v>50357991400</v>
      </c>
      <c r="K288">
        <v>8950</v>
      </c>
    </row>
    <row r="289" spans="1:11" x14ac:dyDescent="0.2">
      <c r="A289" s="5">
        <v>44925</v>
      </c>
      <c r="B289">
        <v>-5.7119460000000004E-2</v>
      </c>
      <c r="C289">
        <v>-5.9151820000000001E-2</v>
      </c>
      <c r="D289">
        <v>-4.7241390000000001E-2</v>
      </c>
      <c r="E289">
        <v>-5.0775430000000003E-2</v>
      </c>
      <c r="F289">
        <v>-5.8971450000000002E-2</v>
      </c>
      <c r="G289">
        <v>3839.5</v>
      </c>
      <c r="H289">
        <v>49720242900</v>
      </c>
      <c r="I289">
        <v>8906</v>
      </c>
      <c r="J289">
        <v>52858705600</v>
      </c>
      <c r="K289">
        <v>8866</v>
      </c>
    </row>
    <row r="290" spans="1:11" x14ac:dyDescent="0.2">
      <c r="A290" s="5">
        <v>44957</v>
      </c>
      <c r="B290">
        <v>7.1823220000000007E-2</v>
      </c>
      <c r="C290">
        <v>7.0883509999999997E-2</v>
      </c>
      <c r="D290">
        <v>0.12642970000000001</v>
      </c>
      <c r="E290">
        <v>0.12558909999999998</v>
      </c>
      <c r="F290">
        <v>6.1752830000000002E-2</v>
      </c>
      <c r="G290">
        <v>4076.6</v>
      </c>
      <c r="H290">
        <v>53261862300</v>
      </c>
      <c r="I290">
        <v>8884</v>
      </c>
      <c r="J290">
        <v>49703755000</v>
      </c>
      <c r="K290">
        <v>8844</v>
      </c>
    </row>
    <row r="291" spans="1:11" x14ac:dyDescent="0.2">
      <c r="A291" s="5">
        <v>44985</v>
      </c>
      <c r="B291">
        <v>-2.466602E-2</v>
      </c>
      <c r="C291">
        <v>-2.6251630000000001E-2</v>
      </c>
      <c r="D291">
        <v>-3.5291120000000002E-2</v>
      </c>
      <c r="E291">
        <v>-3.6476439999999999E-2</v>
      </c>
      <c r="F291">
        <v>-2.6112449999999999E-2</v>
      </c>
      <c r="G291">
        <v>3970.15</v>
      </c>
      <c r="H291">
        <v>51817175600</v>
      </c>
      <c r="I291">
        <v>8854</v>
      </c>
      <c r="J291">
        <v>53219702600</v>
      </c>
      <c r="K291">
        <v>8813</v>
      </c>
    </row>
    <row r="292" spans="1:11" x14ac:dyDescent="0.2">
      <c r="A292" s="5">
        <v>45016</v>
      </c>
      <c r="B292">
        <v>2.39498E-2</v>
      </c>
      <c r="C292">
        <v>2.204304E-2</v>
      </c>
      <c r="D292">
        <v>-3.6553660000000002E-2</v>
      </c>
      <c r="E292">
        <v>-3.87645E-2</v>
      </c>
      <c r="F292">
        <v>3.5051570000000004E-2</v>
      </c>
      <c r="G292">
        <v>4109.3100000000004</v>
      </c>
      <c r="H292">
        <v>52855238600</v>
      </c>
      <c r="I292">
        <v>8807</v>
      </c>
      <c r="J292">
        <v>51736127100</v>
      </c>
      <c r="K292">
        <v>8745</v>
      </c>
    </row>
    <row r="293" spans="1:11" x14ac:dyDescent="0.2">
      <c r="A293" s="5">
        <v>45044</v>
      </c>
      <c r="B293">
        <v>8.9755220000000014E-3</v>
      </c>
      <c r="C293">
        <v>7.8646549999999999E-3</v>
      </c>
      <c r="D293">
        <v>-9.5184730000000013E-3</v>
      </c>
      <c r="E293">
        <v>-1.0685200000000001E-2</v>
      </c>
      <c r="F293">
        <v>1.464236E-2</v>
      </c>
      <c r="G293">
        <v>4169.4799999999996</v>
      </c>
      <c r="H293">
        <v>53261957900</v>
      </c>
      <c r="I293">
        <v>8789</v>
      </c>
      <c r="J293">
        <v>52825942400</v>
      </c>
      <c r="K293">
        <v>8747</v>
      </c>
    </row>
    <row r="294" spans="1:11" x14ac:dyDescent="0.2">
      <c r="A294" s="5">
        <v>45077</v>
      </c>
      <c r="B294">
        <v>7.0825210000000007E-4</v>
      </c>
      <c r="C294">
        <v>-1.056502E-3</v>
      </c>
      <c r="D294">
        <v>-8.7756930000000011E-3</v>
      </c>
      <c r="E294">
        <v>-1.0379600000000001E-2</v>
      </c>
      <c r="F294">
        <v>2.4823240000000002E-3</v>
      </c>
      <c r="G294">
        <v>4179.83</v>
      </c>
      <c r="H294">
        <v>53241372400</v>
      </c>
      <c r="I294">
        <v>8779</v>
      </c>
      <c r="J294">
        <v>53233292500</v>
      </c>
      <c r="K294">
        <v>8733</v>
      </c>
    </row>
    <row r="295" spans="1:11" x14ac:dyDescent="0.2">
      <c r="A295" s="5">
        <v>45107</v>
      </c>
      <c r="B295">
        <v>6.6182729999999995E-2</v>
      </c>
      <c r="C295">
        <v>6.4341579999999995E-2</v>
      </c>
      <c r="D295">
        <v>5.2623839999999998E-2</v>
      </c>
      <c r="E295">
        <v>4.971619E-2</v>
      </c>
      <c r="F295">
        <v>6.4727510000000002E-2</v>
      </c>
      <c r="G295">
        <v>4450.38</v>
      </c>
      <c r="H295">
        <v>56684493200</v>
      </c>
      <c r="I295">
        <v>8770</v>
      </c>
      <c r="J295">
        <v>53199585800</v>
      </c>
      <c r="K295">
        <v>8708</v>
      </c>
    </row>
    <row r="296" spans="1:11" x14ac:dyDescent="0.2">
      <c r="A296" s="5">
        <v>45138</v>
      </c>
      <c r="B296">
        <v>3.5617500000000003E-2</v>
      </c>
      <c r="C296">
        <v>3.4671529999999999E-2</v>
      </c>
      <c r="D296">
        <v>4.3309449999999999E-2</v>
      </c>
      <c r="E296">
        <v>4.2322030000000004E-2</v>
      </c>
      <c r="F296">
        <v>3.1138910000000002E-2</v>
      </c>
      <c r="G296">
        <v>4588.96</v>
      </c>
      <c r="H296">
        <v>58692137000</v>
      </c>
      <c r="I296">
        <v>8747</v>
      </c>
      <c r="J296">
        <v>56650834100</v>
      </c>
      <c r="K296">
        <v>8701</v>
      </c>
    </row>
    <row r="297" spans="1:11" x14ac:dyDescent="0.2">
      <c r="A297" s="5">
        <v>45169</v>
      </c>
      <c r="B297">
        <v>-2.0608419999999999E-2</v>
      </c>
      <c r="C297">
        <v>-2.2266150000000002E-2</v>
      </c>
      <c r="D297">
        <v>-5.2542190000000003E-2</v>
      </c>
      <c r="E297">
        <v>-5.4050130000000002E-2</v>
      </c>
      <c r="F297">
        <v>-1.7716430000000002E-2</v>
      </c>
      <c r="G297">
        <v>4507.66</v>
      </c>
      <c r="H297">
        <v>57388268500</v>
      </c>
      <c r="I297">
        <v>8743</v>
      </c>
      <c r="J297">
        <v>58660195000</v>
      </c>
      <c r="K297">
        <v>8683</v>
      </c>
    </row>
    <row r="298" spans="1:11" x14ac:dyDescent="0.2">
      <c r="A298" s="5">
        <v>45198</v>
      </c>
      <c r="B298">
        <v>-4.7390479999999999E-2</v>
      </c>
      <c r="C298">
        <v>-4.8859569999999998E-2</v>
      </c>
      <c r="D298">
        <v>-5.5442539999999998E-2</v>
      </c>
      <c r="E298">
        <v>-5.7552699999999998E-2</v>
      </c>
      <c r="F298">
        <v>-4.8719289999999998E-2</v>
      </c>
      <c r="G298">
        <v>4288.05</v>
      </c>
      <c r="H298">
        <v>54635591700</v>
      </c>
      <c r="I298">
        <v>8784</v>
      </c>
      <c r="J298">
        <v>57338436800</v>
      </c>
      <c r="K298">
        <v>8694</v>
      </c>
    </row>
    <row r="299" spans="1:11" x14ac:dyDescent="0.2">
      <c r="A299" s="5">
        <v>45230</v>
      </c>
      <c r="B299">
        <v>-2.8864859999999999E-2</v>
      </c>
      <c r="C299">
        <v>-2.9856799999999999E-2</v>
      </c>
      <c r="D299">
        <v>-6.0886880000000004E-2</v>
      </c>
      <c r="E299">
        <v>-6.205484E-2</v>
      </c>
      <c r="F299">
        <v>-2.197969E-2</v>
      </c>
      <c r="G299">
        <v>4193.8</v>
      </c>
      <c r="H299">
        <v>52875382400</v>
      </c>
      <c r="I299">
        <v>8770</v>
      </c>
      <c r="J299">
        <v>54516597800</v>
      </c>
      <c r="K299">
        <v>8697</v>
      </c>
    </row>
    <row r="300" spans="1:11" x14ac:dyDescent="0.2">
      <c r="A300" s="5">
        <v>45260</v>
      </c>
      <c r="B300">
        <v>9.205286E-2</v>
      </c>
      <c r="C300">
        <v>9.0037050000000007E-2</v>
      </c>
      <c r="D300">
        <v>8.0250500000000002E-2</v>
      </c>
      <c r="E300">
        <v>7.8328270000000005E-2</v>
      </c>
      <c r="F300">
        <v>8.9179259999999996E-2</v>
      </c>
      <c r="G300">
        <v>4567.8</v>
      </c>
      <c r="H300">
        <v>57681424500</v>
      </c>
      <c r="I300">
        <v>8769</v>
      </c>
      <c r="J300">
        <v>52776120900</v>
      </c>
      <c r="K300">
        <v>8691</v>
      </c>
    </row>
    <row r="301" spans="1:11" x14ac:dyDescent="0.2">
      <c r="A301" s="5">
        <v>45289</v>
      </c>
      <c r="B301">
        <v>5.360351E-2</v>
      </c>
      <c r="C301">
        <v>5.1475770000000004E-2</v>
      </c>
      <c r="D301">
        <v>8.384055E-2</v>
      </c>
      <c r="E301">
        <v>7.9149280000000002E-2</v>
      </c>
      <c r="F301">
        <v>4.4229169999999998E-2</v>
      </c>
      <c r="G301">
        <v>4769.83</v>
      </c>
      <c r="H301">
        <v>60696692000</v>
      </c>
      <c r="I301">
        <v>8742</v>
      </c>
      <c r="J301">
        <v>57623089400</v>
      </c>
      <c r="K301">
        <v>8678</v>
      </c>
    </row>
    <row r="302" spans="1:11" x14ac:dyDescent="0.2">
      <c r="A302" s="5">
        <v>45322</v>
      </c>
      <c r="B302">
        <v>7.5605580000000002E-3</v>
      </c>
      <c r="C302">
        <v>6.7429550000000001E-3</v>
      </c>
      <c r="D302">
        <v>-2.518184E-2</v>
      </c>
      <c r="E302">
        <v>-2.5954620000000001E-2</v>
      </c>
      <c r="F302">
        <v>1.5895740000000002E-2</v>
      </c>
      <c r="G302">
        <v>4845.6499999999996</v>
      </c>
      <c r="H302">
        <v>61207607400</v>
      </c>
      <c r="I302">
        <v>8767</v>
      </c>
      <c r="J302">
        <v>60668954300</v>
      </c>
      <c r="K302">
        <v>8691</v>
      </c>
    </row>
    <row r="303" spans="1:11" x14ac:dyDescent="0.2">
      <c r="A303" s="5">
        <v>45351</v>
      </c>
      <c r="B303">
        <v>5.0583460000000004E-2</v>
      </c>
      <c r="C303">
        <v>4.9052030000000003E-2</v>
      </c>
      <c r="D303">
        <v>4.1369980000000001E-2</v>
      </c>
      <c r="E303">
        <v>3.9949749999999999E-2</v>
      </c>
      <c r="F303">
        <v>5.1720620000000002E-2</v>
      </c>
      <c r="G303">
        <v>5096.2700000000004</v>
      </c>
      <c r="H303">
        <v>64215405000</v>
      </c>
      <c r="I303">
        <v>8732</v>
      </c>
      <c r="J303">
        <v>61189653500</v>
      </c>
      <c r="K303">
        <v>8684</v>
      </c>
    </row>
    <row r="304" spans="1:11" x14ac:dyDescent="0.2">
      <c r="A304" s="5">
        <v>45379</v>
      </c>
      <c r="B304">
        <v>3.2449940000000004E-2</v>
      </c>
      <c r="C304">
        <v>3.0937889999999999E-2</v>
      </c>
      <c r="D304">
        <v>2.7637000000000002E-2</v>
      </c>
      <c r="E304">
        <v>2.5185060000000002E-2</v>
      </c>
      <c r="F304">
        <v>3.1018759999999999E-2</v>
      </c>
      <c r="G304">
        <v>5254.35</v>
      </c>
      <c r="H304">
        <v>66253678600</v>
      </c>
      <c r="I304">
        <v>8725</v>
      </c>
      <c r="J304">
        <v>64155529200</v>
      </c>
      <c r="K304">
        <v>8668</v>
      </c>
    </row>
    <row r="305" spans="1:11" x14ac:dyDescent="0.2">
      <c r="A305" s="5">
        <v>45412</v>
      </c>
      <c r="B305">
        <v>-4.2723950000000004E-2</v>
      </c>
      <c r="C305">
        <v>-4.3636069999999999E-2</v>
      </c>
      <c r="D305">
        <v>-5.0242920000000003E-2</v>
      </c>
      <c r="E305">
        <v>-5.1623580000000002E-2</v>
      </c>
      <c r="F305">
        <v>-4.1615039999999999E-2</v>
      </c>
      <c r="G305">
        <v>5035.6899999999996</v>
      </c>
      <c r="H305">
        <v>63376371300</v>
      </c>
      <c r="I305">
        <v>8722</v>
      </c>
      <c r="J305">
        <v>66240454400</v>
      </c>
      <c r="K305">
        <v>8669</v>
      </c>
    </row>
    <row r="306" spans="1:11" x14ac:dyDescent="0.2">
      <c r="A306" s="5">
        <v>45443</v>
      </c>
      <c r="B306">
        <v>4.6552570000000001E-2</v>
      </c>
      <c r="C306">
        <v>4.4979140000000001E-2</v>
      </c>
      <c r="D306">
        <v>4.176349E-2</v>
      </c>
      <c r="E306">
        <v>4.0010759999999999E-2</v>
      </c>
      <c r="F306">
        <v>4.8021220000000003E-2</v>
      </c>
      <c r="G306">
        <v>5277.51</v>
      </c>
      <c r="H306">
        <v>66302161800</v>
      </c>
      <c r="I306">
        <v>8722</v>
      </c>
      <c r="J306">
        <v>63270879400</v>
      </c>
      <c r="K306">
        <v>8663</v>
      </c>
    </row>
    <row r="307" spans="1:11" x14ac:dyDescent="0.2">
      <c r="A307" s="5">
        <v>45471</v>
      </c>
      <c r="B307">
        <v>2.6072830000000002E-2</v>
      </c>
      <c r="C307">
        <v>2.4379720000000001E-2</v>
      </c>
      <c r="D307">
        <v>-1.89023E-2</v>
      </c>
      <c r="E307">
        <v>-2.1883119999999999E-2</v>
      </c>
      <c r="F307">
        <v>3.4669760000000001E-2</v>
      </c>
      <c r="G307">
        <v>5460.48</v>
      </c>
      <c r="H307">
        <v>68010910700</v>
      </c>
      <c r="I307">
        <v>8747</v>
      </c>
      <c r="J307">
        <v>66285995000</v>
      </c>
      <c r="K307">
        <v>8683</v>
      </c>
    </row>
    <row r="308" spans="1:11" x14ac:dyDescent="0.2">
      <c r="A308" s="5">
        <v>45504</v>
      </c>
      <c r="B308">
        <v>1.9878110000000001E-2</v>
      </c>
      <c r="C308">
        <v>1.8999539999999999E-2</v>
      </c>
      <c r="D308">
        <v>4.78658E-2</v>
      </c>
      <c r="E308">
        <v>4.6499220000000001E-2</v>
      </c>
      <c r="F308">
        <v>1.1321350000000001E-2</v>
      </c>
      <c r="G308">
        <v>5522.3</v>
      </c>
      <c r="H308">
        <v>69437514300</v>
      </c>
      <c r="I308">
        <v>8767</v>
      </c>
      <c r="J308">
        <v>67971606800</v>
      </c>
      <c r="K308">
        <v>8686</v>
      </c>
    </row>
    <row r="309" spans="1:11" x14ac:dyDescent="0.2">
      <c r="A309" s="5">
        <v>45534</v>
      </c>
      <c r="B309">
        <v>2.1572150000000002E-2</v>
      </c>
      <c r="C309">
        <v>2.0203280000000001E-2</v>
      </c>
      <c r="D309">
        <v>-1.0882670000000001E-2</v>
      </c>
      <c r="E309">
        <v>-1.2626780000000001E-2</v>
      </c>
      <c r="F309">
        <v>2.2834690000000001E-2</v>
      </c>
      <c r="G309">
        <v>5648.4</v>
      </c>
      <c r="H309">
        <v>70854066700</v>
      </c>
      <c r="I309">
        <v>8760</v>
      </c>
      <c r="J309">
        <v>69419236300</v>
      </c>
      <c r="K309">
        <v>8704</v>
      </c>
    </row>
    <row r="310" spans="1:11" x14ac:dyDescent="0.2">
      <c r="A310" s="5">
        <v>45565</v>
      </c>
      <c r="B310">
        <v>2.0969419999999999E-2</v>
      </c>
      <c r="C310">
        <v>1.9485289999999999E-2</v>
      </c>
      <c r="D310">
        <v>1.632171E-2</v>
      </c>
      <c r="E310">
        <v>1.388531E-2</v>
      </c>
      <c r="F310">
        <v>2.0196869999999999E-2</v>
      </c>
      <c r="G310">
        <v>5762.48</v>
      </c>
      <c r="H310">
        <v>72318924000</v>
      </c>
      <c r="I310">
        <v>8798</v>
      </c>
      <c r="J310">
        <v>70835525200</v>
      </c>
      <c r="K310">
        <v>8695</v>
      </c>
    </row>
    <row r="311" spans="1:11" x14ac:dyDescent="0.2">
      <c r="A311" s="5">
        <v>45596</v>
      </c>
      <c r="B311">
        <v>-8.2982180000000013E-3</v>
      </c>
      <c r="C311">
        <v>-9.139065E-3</v>
      </c>
      <c r="D311">
        <v>-5.5888030000000007E-3</v>
      </c>
      <c r="E311">
        <v>-6.9224860000000003E-3</v>
      </c>
      <c r="F311">
        <v>-9.8967800000000009E-3</v>
      </c>
      <c r="G311">
        <v>5705.45</v>
      </c>
      <c r="H311">
        <v>71771754400</v>
      </c>
      <c r="I311">
        <v>8835</v>
      </c>
      <c r="J311">
        <v>72291205000</v>
      </c>
      <c r="K311">
        <v>8739</v>
      </c>
    </row>
    <row r="312" spans="1:11" x14ac:dyDescent="0.2">
      <c r="A312" s="5">
        <v>45625</v>
      </c>
      <c r="B312">
        <v>6.4854679999999998E-2</v>
      </c>
      <c r="C312">
        <v>6.3462760000000007E-2</v>
      </c>
      <c r="D312">
        <v>6.3683989999999996E-2</v>
      </c>
      <c r="E312">
        <v>6.193564E-2</v>
      </c>
      <c r="F312">
        <v>5.7301350000000001E-2</v>
      </c>
      <c r="G312">
        <v>6032.38</v>
      </c>
      <c r="H312">
        <v>76451547300</v>
      </c>
      <c r="I312">
        <v>8829</v>
      </c>
      <c r="J312">
        <v>71718700100</v>
      </c>
      <c r="K312">
        <v>8766</v>
      </c>
    </row>
    <row r="313" spans="1:11" x14ac:dyDescent="0.2">
      <c r="A313" s="5">
        <v>45657</v>
      </c>
      <c r="B313">
        <v>-3.1582409999999998E-2</v>
      </c>
      <c r="C313">
        <v>-3.3469459999999999E-2</v>
      </c>
      <c r="D313">
        <v>-2.1977960000000001E-2</v>
      </c>
      <c r="E313">
        <v>-2.664917E-2</v>
      </c>
      <c r="F313">
        <v>-2.4990140000000001E-2</v>
      </c>
      <c r="G313">
        <v>5881.63</v>
      </c>
      <c r="H313">
        <v>74032373700</v>
      </c>
      <c r="I313">
        <v>8866</v>
      </c>
      <c r="J313">
        <v>76406622900</v>
      </c>
      <c r="K313">
        <v>8751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5EFA-14BE-FF48-91E8-4B9B251CBA25}">
  <dimension ref="A1:B314"/>
  <sheetViews>
    <sheetView workbookViewId="0">
      <selection activeCell="G28" sqref="G28"/>
    </sheetView>
  </sheetViews>
  <sheetFormatPr baseColWidth="10" defaultColWidth="8.83203125" defaultRowHeight="15" x14ac:dyDescent="0.2"/>
  <cols>
    <col min="1" max="1" width="16.5" bestFit="1" customWidth="1"/>
    <col min="2" max="2" width="9.5" style="2" bestFit="1" customWidth="1"/>
  </cols>
  <sheetData>
    <row r="1" spans="1:2" x14ac:dyDescent="0.2">
      <c r="A1" s="4" t="s">
        <v>5</v>
      </c>
      <c r="B1" s="4" t="s">
        <v>4</v>
      </c>
    </row>
    <row r="2" spans="1:2" x14ac:dyDescent="0.2">
      <c r="A2" s="3">
        <v>36130</v>
      </c>
      <c r="B2" s="2">
        <v>164.4</v>
      </c>
    </row>
    <row r="3" spans="1:2" x14ac:dyDescent="0.2">
      <c r="A3" s="3">
        <v>36161</v>
      </c>
      <c r="B3" s="2">
        <v>164.7</v>
      </c>
    </row>
    <row r="4" spans="1:2" x14ac:dyDescent="0.2">
      <c r="A4" s="3">
        <v>36192</v>
      </c>
      <c r="B4" s="2">
        <v>164.7</v>
      </c>
    </row>
    <row r="5" spans="1:2" x14ac:dyDescent="0.2">
      <c r="A5" s="3">
        <v>36220</v>
      </c>
      <c r="B5" s="2">
        <v>164.8</v>
      </c>
    </row>
    <row r="6" spans="1:2" x14ac:dyDescent="0.2">
      <c r="A6" s="3">
        <v>36251</v>
      </c>
      <c r="B6" s="2">
        <v>165.9</v>
      </c>
    </row>
    <row r="7" spans="1:2" x14ac:dyDescent="0.2">
      <c r="A7" s="3">
        <v>36281</v>
      </c>
      <c r="B7" s="2">
        <v>166</v>
      </c>
    </row>
    <row r="8" spans="1:2" x14ac:dyDescent="0.2">
      <c r="A8" s="3">
        <v>36312</v>
      </c>
      <c r="B8" s="2">
        <v>166</v>
      </c>
    </row>
    <row r="9" spans="1:2" x14ac:dyDescent="0.2">
      <c r="A9" s="3">
        <v>36342</v>
      </c>
      <c r="B9" s="2">
        <v>166.7</v>
      </c>
    </row>
    <row r="10" spans="1:2" x14ac:dyDescent="0.2">
      <c r="A10" s="3">
        <v>36373</v>
      </c>
      <c r="B10" s="2">
        <v>167.1</v>
      </c>
    </row>
    <row r="11" spans="1:2" x14ac:dyDescent="0.2">
      <c r="A11" s="3">
        <v>36404</v>
      </c>
      <c r="B11" s="2">
        <v>167.8</v>
      </c>
    </row>
    <row r="12" spans="1:2" x14ac:dyDescent="0.2">
      <c r="A12" s="3">
        <v>36434</v>
      </c>
      <c r="B12" s="2">
        <v>168.1</v>
      </c>
    </row>
    <row r="13" spans="1:2" x14ac:dyDescent="0.2">
      <c r="A13" s="3">
        <v>36465</v>
      </c>
      <c r="B13" s="2">
        <v>168.4</v>
      </c>
    </row>
    <row r="14" spans="1:2" x14ac:dyDescent="0.2">
      <c r="A14" s="3">
        <v>36495</v>
      </c>
      <c r="B14" s="2">
        <v>168.8</v>
      </c>
    </row>
    <row r="15" spans="1:2" x14ac:dyDescent="0.2">
      <c r="A15" s="3">
        <v>36526</v>
      </c>
      <c r="B15" s="2">
        <v>169.3</v>
      </c>
    </row>
    <row r="16" spans="1:2" x14ac:dyDescent="0.2">
      <c r="A16" s="3">
        <v>36557</v>
      </c>
      <c r="B16" s="2">
        <v>170</v>
      </c>
    </row>
    <row r="17" spans="1:2" x14ac:dyDescent="0.2">
      <c r="A17" s="3">
        <v>36586</v>
      </c>
      <c r="B17" s="2">
        <v>171</v>
      </c>
    </row>
    <row r="18" spans="1:2" x14ac:dyDescent="0.2">
      <c r="A18" s="3">
        <v>36617</v>
      </c>
      <c r="B18" s="2">
        <v>170.9</v>
      </c>
    </row>
    <row r="19" spans="1:2" x14ac:dyDescent="0.2">
      <c r="A19" s="3">
        <v>36647</v>
      </c>
      <c r="B19" s="2">
        <v>171.2</v>
      </c>
    </row>
    <row r="20" spans="1:2" x14ac:dyDescent="0.2">
      <c r="A20" s="3">
        <v>36678</v>
      </c>
      <c r="B20" s="2">
        <v>172.2</v>
      </c>
    </row>
    <row r="21" spans="1:2" x14ac:dyDescent="0.2">
      <c r="A21" s="3">
        <v>36708</v>
      </c>
      <c r="B21" s="2">
        <v>172.7</v>
      </c>
    </row>
    <row r="22" spans="1:2" x14ac:dyDescent="0.2">
      <c r="A22" s="3">
        <v>36739</v>
      </c>
      <c r="B22" s="2">
        <v>172.7</v>
      </c>
    </row>
    <row r="23" spans="1:2" x14ac:dyDescent="0.2">
      <c r="A23" s="3">
        <v>36770</v>
      </c>
      <c r="B23" s="2">
        <v>173.6</v>
      </c>
    </row>
    <row r="24" spans="1:2" x14ac:dyDescent="0.2">
      <c r="A24" s="3">
        <v>36800</v>
      </c>
      <c r="B24" s="2">
        <v>173.9</v>
      </c>
    </row>
    <row r="25" spans="1:2" x14ac:dyDescent="0.2">
      <c r="A25" s="3">
        <v>36831</v>
      </c>
      <c r="B25" s="2">
        <v>174.2</v>
      </c>
    </row>
    <row r="26" spans="1:2" x14ac:dyDescent="0.2">
      <c r="A26" s="3">
        <v>36861</v>
      </c>
      <c r="B26" s="2">
        <v>174.6</v>
      </c>
    </row>
    <row r="27" spans="1:2" x14ac:dyDescent="0.2">
      <c r="A27" s="3">
        <v>36892</v>
      </c>
      <c r="B27" s="2">
        <v>175.6</v>
      </c>
    </row>
    <row r="28" spans="1:2" x14ac:dyDescent="0.2">
      <c r="A28" s="3">
        <v>36923</v>
      </c>
      <c r="B28" s="2">
        <v>176</v>
      </c>
    </row>
    <row r="29" spans="1:2" x14ac:dyDescent="0.2">
      <c r="A29" s="3">
        <v>36951</v>
      </c>
      <c r="B29" s="2">
        <v>176.1</v>
      </c>
    </row>
    <row r="30" spans="1:2" x14ac:dyDescent="0.2">
      <c r="A30" s="3">
        <v>36982</v>
      </c>
      <c r="B30" s="2">
        <v>176.4</v>
      </c>
    </row>
    <row r="31" spans="1:2" x14ac:dyDescent="0.2">
      <c r="A31" s="3">
        <v>37012</v>
      </c>
      <c r="B31" s="2">
        <v>177.3</v>
      </c>
    </row>
    <row r="32" spans="1:2" x14ac:dyDescent="0.2">
      <c r="A32" s="3">
        <v>37043</v>
      </c>
      <c r="B32" s="2">
        <v>177.7</v>
      </c>
    </row>
    <row r="33" spans="1:2" x14ac:dyDescent="0.2">
      <c r="A33" s="3">
        <v>37073</v>
      </c>
      <c r="B33" s="2">
        <v>177.4</v>
      </c>
    </row>
    <row r="34" spans="1:2" x14ac:dyDescent="0.2">
      <c r="A34" s="3">
        <v>37104</v>
      </c>
      <c r="B34" s="2">
        <v>177.4</v>
      </c>
    </row>
    <row r="35" spans="1:2" x14ac:dyDescent="0.2">
      <c r="A35" s="3">
        <v>37135</v>
      </c>
      <c r="B35" s="2">
        <v>178.1</v>
      </c>
    </row>
    <row r="36" spans="1:2" x14ac:dyDescent="0.2">
      <c r="A36" s="3">
        <v>37165</v>
      </c>
      <c r="B36" s="2">
        <v>177.6</v>
      </c>
    </row>
    <row r="37" spans="1:2" x14ac:dyDescent="0.2">
      <c r="A37" s="3">
        <v>37196</v>
      </c>
      <c r="B37" s="2">
        <v>177.5</v>
      </c>
    </row>
    <row r="38" spans="1:2" x14ac:dyDescent="0.2">
      <c r="A38" s="3">
        <v>37226</v>
      </c>
      <c r="B38" s="2">
        <v>177.4</v>
      </c>
    </row>
    <row r="39" spans="1:2" x14ac:dyDescent="0.2">
      <c r="A39" s="3">
        <v>37257</v>
      </c>
      <c r="B39" s="2">
        <v>177.7</v>
      </c>
    </row>
    <row r="40" spans="1:2" x14ac:dyDescent="0.2">
      <c r="A40" s="3">
        <v>37288</v>
      </c>
      <c r="B40" s="2">
        <v>178</v>
      </c>
    </row>
    <row r="41" spans="1:2" x14ac:dyDescent="0.2">
      <c r="A41" s="3">
        <v>37316</v>
      </c>
      <c r="B41" s="2">
        <v>178.5</v>
      </c>
    </row>
    <row r="42" spans="1:2" x14ac:dyDescent="0.2">
      <c r="A42" s="3">
        <v>37347</v>
      </c>
      <c r="B42" s="2">
        <v>179.3</v>
      </c>
    </row>
    <row r="43" spans="1:2" x14ac:dyDescent="0.2">
      <c r="A43" s="3">
        <v>37377</v>
      </c>
      <c r="B43" s="2">
        <v>179.5</v>
      </c>
    </row>
    <row r="44" spans="1:2" x14ac:dyDescent="0.2">
      <c r="A44" s="3">
        <v>37408</v>
      </c>
      <c r="B44" s="2">
        <v>179.6</v>
      </c>
    </row>
    <row r="45" spans="1:2" x14ac:dyDescent="0.2">
      <c r="A45" s="3">
        <v>37438</v>
      </c>
      <c r="B45" s="2">
        <v>180</v>
      </c>
    </row>
    <row r="46" spans="1:2" x14ac:dyDescent="0.2">
      <c r="A46" s="3">
        <v>37469</v>
      </c>
      <c r="B46" s="2">
        <v>180.5</v>
      </c>
    </row>
    <row r="47" spans="1:2" x14ac:dyDescent="0.2">
      <c r="A47" s="3">
        <v>37500</v>
      </c>
      <c r="B47" s="2">
        <v>180.8</v>
      </c>
    </row>
    <row r="48" spans="1:2" x14ac:dyDescent="0.2">
      <c r="A48" s="3">
        <v>37530</v>
      </c>
      <c r="B48" s="2">
        <v>181.2</v>
      </c>
    </row>
    <row r="49" spans="1:2" x14ac:dyDescent="0.2">
      <c r="A49" s="3">
        <v>37561</v>
      </c>
      <c r="B49" s="2">
        <v>181.5</v>
      </c>
    </row>
    <row r="50" spans="1:2" x14ac:dyDescent="0.2">
      <c r="A50" s="3">
        <v>37591</v>
      </c>
      <c r="B50" s="2">
        <v>181.8</v>
      </c>
    </row>
    <row r="51" spans="1:2" x14ac:dyDescent="0.2">
      <c r="A51" s="3">
        <v>37622</v>
      </c>
      <c r="B51" s="2">
        <v>182.6</v>
      </c>
    </row>
    <row r="52" spans="1:2" x14ac:dyDescent="0.2">
      <c r="A52" s="3">
        <v>37653</v>
      </c>
      <c r="B52" s="2">
        <v>183.6</v>
      </c>
    </row>
    <row r="53" spans="1:2" x14ac:dyDescent="0.2">
      <c r="A53" s="3">
        <v>37681</v>
      </c>
      <c r="B53" s="2">
        <v>183.9</v>
      </c>
    </row>
    <row r="54" spans="1:2" x14ac:dyDescent="0.2">
      <c r="A54" s="3">
        <v>37712</v>
      </c>
      <c r="B54" s="2">
        <v>183.2</v>
      </c>
    </row>
    <row r="55" spans="1:2" x14ac:dyDescent="0.2">
      <c r="A55" s="3">
        <v>37742</v>
      </c>
      <c r="B55" s="2">
        <v>182.9</v>
      </c>
    </row>
    <row r="56" spans="1:2" x14ac:dyDescent="0.2">
      <c r="A56" s="3">
        <v>37773</v>
      </c>
      <c r="B56" s="2">
        <v>183.1</v>
      </c>
    </row>
    <row r="57" spans="1:2" x14ac:dyDescent="0.2">
      <c r="A57" s="3">
        <v>37803</v>
      </c>
      <c r="B57" s="2">
        <v>183.7</v>
      </c>
    </row>
    <row r="58" spans="1:2" x14ac:dyDescent="0.2">
      <c r="A58" s="3">
        <v>37834</v>
      </c>
      <c r="B58" s="2">
        <v>184.5</v>
      </c>
    </row>
    <row r="59" spans="1:2" x14ac:dyDescent="0.2">
      <c r="A59" s="3">
        <v>37865</v>
      </c>
      <c r="B59" s="2">
        <v>185.1</v>
      </c>
    </row>
    <row r="60" spans="1:2" x14ac:dyDescent="0.2">
      <c r="A60" s="3">
        <v>37895</v>
      </c>
      <c r="B60" s="2">
        <v>184.9</v>
      </c>
    </row>
    <row r="61" spans="1:2" x14ac:dyDescent="0.2">
      <c r="A61" s="3">
        <v>37926</v>
      </c>
      <c r="B61" s="2">
        <v>185</v>
      </c>
    </row>
    <row r="62" spans="1:2" x14ac:dyDescent="0.2">
      <c r="A62" s="3">
        <v>37956</v>
      </c>
      <c r="B62" s="2">
        <v>185.5</v>
      </c>
    </row>
    <row r="63" spans="1:2" x14ac:dyDescent="0.2">
      <c r="A63" s="3">
        <v>37987</v>
      </c>
      <c r="B63" s="2">
        <v>186.3</v>
      </c>
    </row>
    <row r="64" spans="1:2" x14ac:dyDescent="0.2">
      <c r="A64" s="3">
        <v>38018</v>
      </c>
      <c r="B64" s="2">
        <v>186.7</v>
      </c>
    </row>
    <row r="65" spans="1:2" x14ac:dyDescent="0.2">
      <c r="A65" s="3">
        <v>38047</v>
      </c>
      <c r="B65" s="2">
        <v>187.1</v>
      </c>
    </row>
    <row r="66" spans="1:2" x14ac:dyDescent="0.2">
      <c r="A66" s="3">
        <v>38078</v>
      </c>
      <c r="B66" s="2">
        <v>187.4</v>
      </c>
    </row>
    <row r="67" spans="1:2" x14ac:dyDescent="0.2">
      <c r="A67" s="3">
        <v>38108</v>
      </c>
      <c r="B67" s="2">
        <v>188.2</v>
      </c>
    </row>
    <row r="68" spans="1:2" x14ac:dyDescent="0.2">
      <c r="A68" s="3">
        <v>38139</v>
      </c>
      <c r="B68" s="2">
        <v>188.9</v>
      </c>
    </row>
    <row r="69" spans="1:2" x14ac:dyDescent="0.2">
      <c r="A69" s="3">
        <v>38169</v>
      </c>
      <c r="B69" s="2">
        <v>189.1</v>
      </c>
    </row>
    <row r="70" spans="1:2" x14ac:dyDescent="0.2">
      <c r="A70" s="3">
        <v>38200</v>
      </c>
      <c r="B70" s="2">
        <v>189.2</v>
      </c>
    </row>
    <row r="71" spans="1:2" x14ac:dyDescent="0.2">
      <c r="A71" s="3">
        <v>38231</v>
      </c>
      <c r="B71" s="2">
        <v>189.8</v>
      </c>
    </row>
    <row r="72" spans="1:2" x14ac:dyDescent="0.2">
      <c r="A72" s="3">
        <v>38261</v>
      </c>
      <c r="B72" s="2">
        <v>190.8</v>
      </c>
    </row>
    <row r="73" spans="1:2" x14ac:dyDescent="0.2">
      <c r="A73" s="3">
        <v>38292</v>
      </c>
      <c r="B73" s="2">
        <v>191.7</v>
      </c>
    </row>
    <row r="74" spans="1:2" x14ac:dyDescent="0.2">
      <c r="A74" s="3">
        <v>38322</v>
      </c>
      <c r="B74" s="2">
        <v>191.7</v>
      </c>
    </row>
    <row r="75" spans="1:2" x14ac:dyDescent="0.2">
      <c r="A75" s="3">
        <v>38353</v>
      </c>
      <c r="B75" s="2">
        <v>191.6</v>
      </c>
    </row>
    <row r="76" spans="1:2" x14ac:dyDescent="0.2">
      <c r="A76" s="3">
        <v>38384</v>
      </c>
      <c r="B76" s="2">
        <v>192.4</v>
      </c>
    </row>
    <row r="77" spans="1:2" x14ac:dyDescent="0.2">
      <c r="A77" s="3">
        <v>38412</v>
      </c>
      <c r="B77" s="2">
        <v>193.1</v>
      </c>
    </row>
    <row r="78" spans="1:2" x14ac:dyDescent="0.2">
      <c r="A78" s="3">
        <v>38443</v>
      </c>
      <c r="B78" s="2">
        <v>193.7</v>
      </c>
    </row>
    <row r="79" spans="1:2" x14ac:dyDescent="0.2">
      <c r="A79" s="3">
        <v>38473</v>
      </c>
      <c r="B79" s="2">
        <v>193.6</v>
      </c>
    </row>
    <row r="80" spans="1:2" x14ac:dyDescent="0.2">
      <c r="A80" s="3">
        <v>38504</v>
      </c>
      <c r="B80" s="2">
        <v>193.7</v>
      </c>
    </row>
    <row r="81" spans="1:2" x14ac:dyDescent="0.2">
      <c r="A81" s="3">
        <v>38534</v>
      </c>
      <c r="B81" s="2">
        <v>194.9</v>
      </c>
    </row>
    <row r="82" spans="1:2" x14ac:dyDescent="0.2">
      <c r="A82" s="3">
        <v>38565</v>
      </c>
      <c r="B82" s="2">
        <v>196.1</v>
      </c>
    </row>
    <row r="83" spans="1:2" x14ac:dyDescent="0.2">
      <c r="A83" s="3">
        <v>38596</v>
      </c>
      <c r="B83" s="2">
        <v>198.8</v>
      </c>
    </row>
    <row r="84" spans="1:2" x14ac:dyDescent="0.2">
      <c r="A84" s="3">
        <v>38626</v>
      </c>
      <c r="B84" s="2">
        <v>199.1</v>
      </c>
    </row>
    <row r="85" spans="1:2" x14ac:dyDescent="0.2">
      <c r="A85" s="3">
        <v>38657</v>
      </c>
      <c r="B85" s="2">
        <v>198.1</v>
      </c>
    </row>
    <row r="86" spans="1:2" x14ac:dyDescent="0.2">
      <c r="A86" s="3">
        <v>38687</v>
      </c>
      <c r="B86" s="2">
        <v>198.1</v>
      </c>
    </row>
    <row r="87" spans="1:2" x14ac:dyDescent="0.2">
      <c r="A87" s="3">
        <v>38718</v>
      </c>
      <c r="B87" s="2">
        <v>199.3</v>
      </c>
    </row>
    <row r="88" spans="1:2" x14ac:dyDescent="0.2">
      <c r="A88" s="3">
        <v>38749</v>
      </c>
      <c r="B88" s="2">
        <v>199.4</v>
      </c>
    </row>
    <row r="89" spans="1:2" x14ac:dyDescent="0.2">
      <c r="A89" s="3">
        <v>38777</v>
      </c>
      <c r="B89" s="2">
        <v>199.7</v>
      </c>
    </row>
    <row r="90" spans="1:2" x14ac:dyDescent="0.2">
      <c r="A90" s="3">
        <v>38808</v>
      </c>
      <c r="B90" s="2">
        <v>200.7</v>
      </c>
    </row>
    <row r="91" spans="1:2" x14ac:dyDescent="0.2">
      <c r="A91" s="3">
        <v>38838</v>
      </c>
      <c r="B91" s="2">
        <v>201.3</v>
      </c>
    </row>
    <row r="92" spans="1:2" x14ac:dyDescent="0.2">
      <c r="A92" s="3">
        <v>38869</v>
      </c>
      <c r="B92" s="2">
        <v>201.8</v>
      </c>
    </row>
    <row r="93" spans="1:2" x14ac:dyDescent="0.2">
      <c r="A93" s="3">
        <v>38899</v>
      </c>
      <c r="B93" s="2">
        <v>202.9</v>
      </c>
    </row>
    <row r="94" spans="1:2" x14ac:dyDescent="0.2">
      <c r="A94" s="3">
        <v>38930</v>
      </c>
      <c r="B94" s="2">
        <v>203.8</v>
      </c>
    </row>
    <row r="95" spans="1:2" x14ac:dyDescent="0.2">
      <c r="A95" s="3">
        <v>38961</v>
      </c>
      <c r="B95" s="2">
        <v>202.8</v>
      </c>
    </row>
    <row r="96" spans="1:2" x14ac:dyDescent="0.2">
      <c r="A96" s="3">
        <v>38991</v>
      </c>
      <c r="B96" s="2">
        <v>201.9</v>
      </c>
    </row>
    <row r="97" spans="1:2" x14ac:dyDescent="0.2">
      <c r="A97" s="3">
        <v>39022</v>
      </c>
      <c r="B97" s="2">
        <v>202</v>
      </c>
    </row>
    <row r="98" spans="1:2" x14ac:dyDescent="0.2">
      <c r="A98" s="3">
        <v>39052</v>
      </c>
      <c r="B98" s="2">
        <v>203.1</v>
      </c>
    </row>
    <row r="99" spans="1:2" x14ac:dyDescent="0.2">
      <c r="A99" s="3">
        <v>39083</v>
      </c>
      <c r="B99" s="2">
        <v>203.43700000000001</v>
      </c>
    </row>
    <row r="100" spans="1:2" x14ac:dyDescent="0.2">
      <c r="A100" s="3">
        <v>39114</v>
      </c>
      <c r="B100" s="2">
        <v>204.226</v>
      </c>
    </row>
    <row r="101" spans="1:2" x14ac:dyDescent="0.2">
      <c r="A101" s="3">
        <v>39142</v>
      </c>
      <c r="B101" s="2">
        <v>205.28800000000001</v>
      </c>
    </row>
    <row r="102" spans="1:2" x14ac:dyDescent="0.2">
      <c r="A102" s="3">
        <v>39173</v>
      </c>
      <c r="B102" s="2">
        <v>205.904</v>
      </c>
    </row>
    <row r="103" spans="1:2" x14ac:dyDescent="0.2">
      <c r="A103" s="3">
        <v>39203</v>
      </c>
      <c r="B103" s="2">
        <v>206.755</v>
      </c>
    </row>
    <row r="104" spans="1:2" x14ac:dyDescent="0.2">
      <c r="A104" s="3">
        <v>39234</v>
      </c>
      <c r="B104" s="2">
        <v>207.23400000000001</v>
      </c>
    </row>
    <row r="105" spans="1:2" x14ac:dyDescent="0.2">
      <c r="A105" s="3">
        <v>39264</v>
      </c>
      <c r="B105" s="2">
        <v>207.60300000000001</v>
      </c>
    </row>
    <row r="106" spans="1:2" x14ac:dyDescent="0.2">
      <c r="A106" s="3">
        <v>39295</v>
      </c>
      <c r="B106" s="2">
        <v>207.667</v>
      </c>
    </row>
    <row r="107" spans="1:2" x14ac:dyDescent="0.2">
      <c r="A107" s="3">
        <v>39326</v>
      </c>
      <c r="B107" s="2">
        <v>208.547</v>
      </c>
    </row>
    <row r="108" spans="1:2" x14ac:dyDescent="0.2">
      <c r="A108" s="3">
        <v>39356</v>
      </c>
      <c r="B108" s="2">
        <v>209.19</v>
      </c>
    </row>
    <row r="109" spans="1:2" x14ac:dyDescent="0.2">
      <c r="A109" s="3">
        <v>39387</v>
      </c>
      <c r="B109" s="2">
        <v>210.834</v>
      </c>
    </row>
    <row r="110" spans="1:2" x14ac:dyDescent="0.2">
      <c r="A110" s="3">
        <v>39417</v>
      </c>
      <c r="B110" s="2">
        <v>211.44499999999999</v>
      </c>
    </row>
    <row r="111" spans="1:2" x14ac:dyDescent="0.2">
      <c r="A111" s="3">
        <v>39448</v>
      </c>
      <c r="B111" s="2">
        <v>212.17400000000001</v>
      </c>
    </row>
    <row r="112" spans="1:2" x14ac:dyDescent="0.2">
      <c r="A112" s="3">
        <v>39479</v>
      </c>
      <c r="B112" s="2">
        <v>212.68700000000001</v>
      </c>
    </row>
    <row r="113" spans="1:2" x14ac:dyDescent="0.2">
      <c r="A113" s="3">
        <v>39508</v>
      </c>
      <c r="B113" s="2">
        <v>213.44800000000001</v>
      </c>
    </row>
    <row r="114" spans="1:2" x14ac:dyDescent="0.2">
      <c r="A114" s="3">
        <v>39539</v>
      </c>
      <c r="B114" s="2">
        <v>213.94200000000001</v>
      </c>
    </row>
    <row r="115" spans="1:2" x14ac:dyDescent="0.2">
      <c r="A115" s="3">
        <v>39569</v>
      </c>
      <c r="B115" s="2">
        <v>215.208</v>
      </c>
    </row>
    <row r="116" spans="1:2" x14ac:dyDescent="0.2">
      <c r="A116" s="3">
        <v>39600</v>
      </c>
      <c r="B116" s="2">
        <v>217.46299999999999</v>
      </c>
    </row>
    <row r="117" spans="1:2" x14ac:dyDescent="0.2">
      <c r="A117" s="3">
        <v>39630</v>
      </c>
      <c r="B117" s="2">
        <v>219.01599999999999</v>
      </c>
    </row>
    <row r="118" spans="1:2" x14ac:dyDescent="0.2">
      <c r="A118" s="3">
        <v>39661</v>
      </c>
      <c r="B118" s="2">
        <v>218.69</v>
      </c>
    </row>
    <row r="119" spans="1:2" x14ac:dyDescent="0.2">
      <c r="A119" s="3">
        <v>39692</v>
      </c>
      <c r="B119" s="2">
        <v>218.87700000000001</v>
      </c>
    </row>
    <row r="120" spans="1:2" x14ac:dyDescent="0.2">
      <c r="A120" s="3">
        <v>39722</v>
      </c>
      <c r="B120" s="2">
        <v>216.995</v>
      </c>
    </row>
    <row r="121" spans="1:2" x14ac:dyDescent="0.2">
      <c r="A121" s="3">
        <v>39753</v>
      </c>
      <c r="B121" s="2">
        <v>213.15299999999999</v>
      </c>
    </row>
    <row r="122" spans="1:2" x14ac:dyDescent="0.2">
      <c r="A122" s="3">
        <v>39783</v>
      </c>
      <c r="B122" s="2">
        <v>211.398</v>
      </c>
    </row>
    <row r="123" spans="1:2" x14ac:dyDescent="0.2">
      <c r="A123" s="3">
        <v>39814</v>
      </c>
      <c r="B123" s="2">
        <v>211.93299999999999</v>
      </c>
    </row>
    <row r="124" spans="1:2" x14ac:dyDescent="0.2">
      <c r="A124" s="3">
        <v>39845</v>
      </c>
      <c r="B124" s="2">
        <v>212.70500000000001</v>
      </c>
    </row>
    <row r="125" spans="1:2" x14ac:dyDescent="0.2">
      <c r="A125" s="3">
        <v>39873</v>
      </c>
      <c r="B125" s="2">
        <v>212.495</v>
      </c>
    </row>
    <row r="126" spans="1:2" x14ac:dyDescent="0.2">
      <c r="A126" s="3">
        <v>39904</v>
      </c>
      <c r="B126" s="2">
        <v>212.709</v>
      </c>
    </row>
    <row r="127" spans="1:2" x14ac:dyDescent="0.2">
      <c r="A127" s="3">
        <v>39934</v>
      </c>
      <c r="B127" s="2">
        <v>213.02199999999999</v>
      </c>
    </row>
    <row r="128" spans="1:2" x14ac:dyDescent="0.2">
      <c r="A128" s="3">
        <v>39965</v>
      </c>
      <c r="B128" s="2">
        <v>214.79</v>
      </c>
    </row>
    <row r="129" spans="1:2" x14ac:dyDescent="0.2">
      <c r="A129" s="3">
        <v>39995</v>
      </c>
      <c r="B129" s="2">
        <v>214.726</v>
      </c>
    </row>
    <row r="130" spans="1:2" x14ac:dyDescent="0.2">
      <c r="A130" s="3">
        <v>40026</v>
      </c>
      <c r="B130" s="2">
        <v>215.44499999999999</v>
      </c>
    </row>
    <row r="131" spans="1:2" x14ac:dyDescent="0.2">
      <c r="A131" s="3">
        <v>40057</v>
      </c>
      <c r="B131" s="2">
        <v>215.86099999999999</v>
      </c>
    </row>
    <row r="132" spans="1:2" x14ac:dyDescent="0.2">
      <c r="A132" s="3">
        <v>40087</v>
      </c>
      <c r="B132" s="2">
        <v>216.50899999999999</v>
      </c>
    </row>
    <row r="133" spans="1:2" x14ac:dyDescent="0.2">
      <c r="A133" s="3">
        <v>40118</v>
      </c>
      <c r="B133" s="2">
        <v>217.23400000000001</v>
      </c>
    </row>
    <row r="134" spans="1:2" x14ac:dyDescent="0.2">
      <c r="A134" s="3">
        <v>40148</v>
      </c>
      <c r="B134" s="2">
        <v>217.34700000000001</v>
      </c>
    </row>
    <row r="135" spans="1:2" x14ac:dyDescent="0.2">
      <c r="A135" s="3">
        <v>40179</v>
      </c>
      <c r="B135" s="2">
        <v>217.488</v>
      </c>
    </row>
    <row r="136" spans="1:2" x14ac:dyDescent="0.2">
      <c r="A136" s="3">
        <v>40210</v>
      </c>
      <c r="B136" s="2">
        <v>217.28100000000001</v>
      </c>
    </row>
    <row r="137" spans="1:2" x14ac:dyDescent="0.2">
      <c r="A137" s="3">
        <v>40238</v>
      </c>
      <c r="B137" s="2">
        <v>217.35300000000001</v>
      </c>
    </row>
    <row r="138" spans="1:2" x14ac:dyDescent="0.2">
      <c r="A138" s="3">
        <v>40269</v>
      </c>
      <c r="B138" s="2">
        <v>217.40299999999999</v>
      </c>
    </row>
    <row r="139" spans="1:2" x14ac:dyDescent="0.2">
      <c r="A139" s="3">
        <v>40299</v>
      </c>
      <c r="B139" s="2">
        <v>217.29</v>
      </c>
    </row>
    <row r="140" spans="1:2" x14ac:dyDescent="0.2">
      <c r="A140" s="3">
        <v>40330</v>
      </c>
      <c r="B140" s="2">
        <v>217.19900000000001</v>
      </c>
    </row>
    <row r="141" spans="1:2" x14ac:dyDescent="0.2">
      <c r="A141" s="3">
        <v>40360</v>
      </c>
      <c r="B141" s="2">
        <v>217.60499999999999</v>
      </c>
    </row>
    <row r="142" spans="1:2" x14ac:dyDescent="0.2">
      <c r="A142" s="3">
        <v>40391</v>
      </c>
      <c r="B142" s="2">
        <v>217.923</v>
      </c>
    </row>
    <row r="143" spans="1:2" x14ac:dyDescent="0.2">
      <c r="A143" s="3">
        <v>40422</v>
      </c>
      <c r="B143" s="2">
        <v>218.27500000000001</v>
      </c>
    </row>
    <row r="144" spans="1:2" x14ac:dyDescent="0.2">
      <c r="A144" s="3">
        <v>40452</v>
      </c>
      <c r="B144" s="2">
        <v>219.035</v>
      </c>
    </row>
    <row r="145" spans="1:2" x14ac:dyDescent="0.2">
      <c r="A145" s="3">
        <v>40483</v>
      </c>
      <c r="B145" s="2">
        <v>219.59</v>
      </c>
    </row>
    <row r="146" spans="1:2" x14ac:dyDescent="0.2">
      <c r="A146" s="3">
        <v>40513</v>
      </c>
      <c r="B146" s="2">
        <v>220.47200000000001</v>
      </c>
    </row>
    <row r="147" spans="1:2" x14ac:dyDescent="0.2">
      <c r="A147" s="3">
        <v>40544</v>
      </c>
      <c r="B147" s="2">
        <v>221.18700000000001</v>
      </c>
    </row>
    <row r="148" spans="1:2" x14ac:dyDescent="0.2">
      <c r="A148" s="3">
        <v>40575</v>
      </c>
      <c r="B148" s="2">
        <v>221.898</v>
      </c>
    </row>
    <row r="149" spans="1:2" x14ac:dyDescent="0.2">
      <c r="A149" s="3">
        <v>40603</v>
      </c>
      <c r="B149" s="2">
        <v>223.04599999999999</v>
      </c>
    </row>
    <row r="150" spans="1:2" x14ac:dyDescent="0.2">
      <c r="A150" s="3">
        <v>40634</v>
      </c>
      <c r="B150" s="2">
        <v>224.09299999999999</v>
      </c>
    </row>
    <row r="151" spans="1:2" x14ac:dyDescent="0.2">
      <c r="A151" s="3">
        <v>40664</v>
      </c>
      <c r="B151" s="2">
        <v>224.80600000000001</v>
      </c>
    </row>
    <row r="152" spans="1:2" x14ac:dyDescent="0.2">
      <c r="A152" s="3">
        <v>40695</v>
      </c>
      <c r="B152" s="2">
        <v>224.80600000000001</v>
      </c>
    </row>
    <row r="153" spans="1:2" x14ac:dyDescent="0.2">
      <c r="A153" s="3">
        <v>40725</v>
      </c>
      <c r="B153" s="2">
        <v>225.39500000000001</v>
      </c>
    </row>
    <row r="154" spans="1:2" x14ac:dyDescent="0.2">
      <c r="A154" s="3">
        <v>40756</v>
      </c>
      <c r="B154" s="2">
        <v>226.10599999999999</v>
      </c>
    </row>
    <row r="155" spans="1:2" x14ac:dyDescent="0.2">
      <c r="A155" s="3">
        <v>40787</v>
      </c>
      <c r="B155" s="2">
        <v>226.59700000000001</v>
      </c>
    </row>
    <row r="156" spans="1:2" x14ac:dyDescent="0.2">
      <c r="A156" s="3">
        <v>40817</v>
      </c>
      <c r="B156" s="2">
        <v>226.75</v>
      </c>
    </row>
    <row r="157" spans="1:2" x14ac:dyDescent="0.2">
      <c r="A157" s="3">
        <v>40848</v>
      </c>
      <c r="B157" s="2">
        <v>227.16900000000001</v>
      </c>
    </row>
    <row r="158" spans="1:2" x14ac:dyDescent="0.2">
      <c r="A158" s="3">
        <v>40878</v>
      </c>
      <c r="B158" s="2">
        <v>227.22300000000001</v>
      </c>
    </row>
    <row r="159" spans="1:2" x14ac:dyDescent="0.2">
      <c r="A159" s="3">
        <v>40909</v>
      </c>
      <c r="B159" s="2">
        <v>227.84200000000001</v>
      </c>
    </row>
    <row r="160" spans="1:2" x14ac:dyDescent="0.2">
      <c r="A160" s="3">
        <v>40940</v>
      </c>
      <c r="B160" s="2">
        <v>228.32900000000001</v>
      </c>
    </row>
    <row r="161" spans="1:2" x14ac:dyDescent="0.2">
      <c r="A161" s="3">
        <v>40969</v>
      </c>
      <c r="B161" s="2">
        <v>228.80699999999999</v>
      </c>
    </row>
    <row r="162" spans="1:2" x14ac:dyDescent="0.2">
      <c r="A162" s="3">
        <v>41000</v>
      </c>
      <c r="B162" s="2">
        <v>229.18700000000001</v>
      </c>
    </row>
    <row r="163" spans="1:2" x14ac:dyDescent="0.2">
      <c r="A163" s="3">
        <v>41030</v>
      </c>
      <c r="B163" s="2">
        <v>228.71299999999999</v>
      </c>
    </row>
    <row r="164" spans="1:2" x14ac:dyDescent="0.2">
      <c r="A164" s="3">
        <v>41061</v>
      </c>
      <c r="B164" s="2">
        <v>228.524</v>
      </c>
    </row>
    <row r="165" spans="1:2" x14ac:dyDescent="0.2">
      <c r="A165" s="3">
        <v>41091</v>
      </c>
      <c r="B165" s="2">
        <v>228.59</v>
      </c>
    </row>
    <row r="166" spans="1:2" x14ac:dyDescent="0.2">
      <c r="A166" s="3">
        <v>41122</v>
      </c>
      <c r="B166" s="2">
        <v>229.91800000000001</v>
      </c>
    </row>
    <row r="167" spans="1:2" x14ac:dyDescent="0.2">
      <c r="A167" s="3">
        <v>41153</v>
      </c>
      <c r="B167" s="2">
        <v>231.01499999999999</v>
      </c>
    </row>
    <row r="168" spans="1:2" x14ac:dyDescent="0.2">
      <c r="A168" s="3">
        <v>41183</v>
      </c>
      <c r="B168" s="2">
        <v>231.63800000000001</v>
      </c>
    </row>
    <row r="169" spans="1:2" x14ac:dyDescent="0.2">
      <c r="A169" s="3">
        <v>41214</v>
      </c>
      <c r="B169" s="2">
        <v>231.249</v>
      </c>
    </row>
    <row r="170" spans="1:2" x14ac:dyDescent="0.2">
      <c r="A170" s="3">
        <v>41244</v>
      </c>
      <c r="B170" s="2">
        <v>231.221</v>
      </c>
    </row>
    <row r="171" spans="1:2" x14ac:dyDescent="0.2">
      <c r="A171" s="3">
        <v>41275</v>
      </c>
      <c r="B171" s="2">
        <v>231.679</v>
      </c>
    </row>
    <row r="172" spans="1:2" x14ac:dyDescent="0.2">
      <c r="A172" s="3">
        <v>41306</v>
      </c>
      <c r="B172" s="2">
        <v>232.93700000000001</v>
      </c>
    </row>
    <row r="173" spans="1:2" x14ac:dyDescent="0.2">
      <c r="A173" s="3">
        <v>41334</v>
      </c>
      <c r="B173" s="2">
        <v>232.28200000000001</v>
      </c>
    </row>
    <row r="174" spans="1:2" x14ac:dyDescent="0.2">
      <c r="A174" s="3">
        <v>41365</v>
      </c>
      <c r="B174" s="2">
        <v>231.797</v>
      </c>
    </row>
    <row r="175" spans="1:2" x14ac:dyDescent="0.2">
      <c r="A175" s="3">
        <v>41395</v>
      </c>
      <c r="B175" s="2">
        <v>231.893</v>
      </c>
    </row>
    <row r="176" spans="1:2" x14ac:dyDescent="0.2">
      <c r="A176" s="3">
        <v>41426</v>
      </c>
      <c r="B176" s="2">
        <v>232.44499999999999</v>
      </c>
    </row>
    <row r="177" spans="1:2" x14ac:dyDescent="0.2">
      <c r="A177" s="3">
        <v>41456</v>
      </c>
      <c r="B177" s="2">
        <v>232.9</v>
      </c>
    </row>
    <row r="178" spans="1:2" x14ac:dyDescent="0.2">
      <c r="A178" s="3">
        <v>41487</v>
      </c>
      <c r="B178" s="2">
        <v>233.45599999999999</v>
      </c>
    </row>
    <row r="179" spans="1:2" x14ac:dyDescent="0.2">
      <c r="A179" s="3">
        <v>41518</v>
      </c>
      <c r="B179" s="2">
        <v>233.54400000000001</v>
      </c>
    </row>
    <row r="180" spans="1:2" x14ac:dyDescent="0.2">
      <c r="A180" s="3">
        <v>41548</v>
      </c>
      <c r="B180" s="2">
        <v>233.66900000000001</v>
      </c>
    </row>
    <row r="181" spans="1:2" x14ac:dyDescent="0.2">
      <c r="A181" s="3">
        <v>41579</v>
      </c>
      <c r="B181" s="2">
        <v>234.1</v>
      </c>
    </row>
    <row r="182" spans="1:2" x14ac:dyDescent="0.2">
      <c r="A182" s="3">
        <v>41609</v>
      </c>
      <c r="B182" s="2">
        <v>234.71899999999999</v>
      </c>
    </row>
    <row r="183" spans="1:2" x14ac:dyDescent="0.2">
      <c r="A183" s="3">
        <v>41640</v>
      </c>
      <c r="B183" s="2">
        <v>235.28800000000001</v>
      </c>
    </row>
    <row r="184" spans="1:2" x14ac:dyDescent="0.2">
      <c r="A184" s="3">
        <v>41671</v>
      </c>
      <c r="B184" s="2">
        <v>235.547</v>
      </c>
    </row>
    <row r="185" spans="1:2" x14ac:dyDescent="0.2">
      <c r="A185" s="3">
        <v>41699</v>
      </c>
      <c r="B185" s="2">
        <v>236.02799999999999</v>
      </c>
    </row>
    <row r="186" spans="1:2" x14ac:dyDescent="0.2">
      <c r="A186" s="3">
        <v>41730</v>
      </c>
      <c r="B186" s="2">
        <v>236.46799999999999</v>
      </c>
    </row>
    <row r="187" spans="1:2" x14ac:dyDescent="0.2">
      <c r="A187" s="3">
        <v>41760</v>
      </c>
      <c r="B187" s="2">
        <v>236.91800000000001</v>
      </c>
    </row>
    <row r="188" spans="1:2" x14ac:dyDescent="0.2">
      <c r="A188" s="3">
        <v>41791</v>
      </c>
      <c r="B188" s="2">
        <v>237.23099999999999</v>
      </c>
    </row>
    <row r="189" spans="1:2" x14ac:dyDescent="0.2">
      <c r="A189" s="3">
        <v>41821</v>
      </c>
      <c r="B189" s="2">
        <v>237.49799999999999</v>
      </c>
    </row>
    <row r="190" spans="1:2" x14ac:dyDescent="0.2">
      <c r="A190" s="3">
        <v>41852</v>
      </c>
      <c r="B190" s="2">
        <v>237.46</v>
      </c>
    </row>
    <row r="191" spans="1:2" x14ac:dyDescent="0.2">
      <c r="A191" s="3">
        <v>41883</v>
      </c>
      <c r="B191" s="2">
        <v>237.477</v>
      </c>
    </row>
    <row r="192" spans="1:2" x14ac:dyDescent="0.2">
      <c r="A192" s="3">
        <v>41913</v>
      </c>
      <c r="B192" s="2">
        <v>237.43</v>
      </c>
    </row>
    <row r="193" spans="1:2" x14ac:dyDescent="0.2">
      <c r="A193" s="3">
        <v>41944</v>
      </c>
      <c r="B193" s="2">
        <v>236.983</v>
      </c>
    </row>
    <row r="194" spans="1:2" x14ac:dyDescent="0.2">
      <c r="A194" s="3">
        <v>41974</v>
      </c>
      <c r="B194" s="2">
        <v>236.25200000000001</v>
      </c>
    </row>
    <row r="195" spans="1:2" x14ac:dyDescent="0.2">
      <c r="A195" s="3">
        <v>42005</v>
      </c>
      <c r="B195" s="2">
        <v>234.74700000000001</v>
      </c>
    </row>
    <row r="196" spans="1:2" x14ac:dyDescent="0.2">
      <c r="A196" s="3">
        <v>42036</v>
      </c>
      <c r="B196" s="2">
        <v>235.34200000000001</v>
      </c>
    </row>
    <row r="197" spans="1:2" x14ac:dyDescent="0.2">
      <c r="A197" s="3">
        <v>42064</v>
      </c>
      <c r="B197" s="2">
        <v>235.976</v>
      </c>
    </row>
    <row r="198" spans="1:2" x14ac:dyDescent="0.2">
      <c r="A198" s="3">
        <v>42095</v>
      </c>
      <c r="B198" s="2">
        <v>236.22200000000001</v>
      </c>
    </row>
    <row r="199" spans="1:2" x14ac:dyDescent="0.2">
      <c r="A199" s="3">
        <v>42125</v>
      </c>
      <c r="B199" s="2">
        <v>237.001</v>
      </c>
    </row>
    <row r="200" spans="1:2" x14ac:dyDescent="0.2">
      <c r="A200" s="3">
        <v>42156</v>
      </c>
      <c r="B200" s="2">
        <v>237.65700000000001</v>
      </c>
    </row>
    <row r="201" spans="1:2" x14ac:dyDescent="0.2">
      <c r="A201" s="3">
        <v>42186</v>
      </c>
      <c r="B201" s="2">
        <v>238.03399999999999</v>
      </c>
    </row>
    <row r="202" spans="1:2" x14ac:dyDescent="0.2">
      <c r="A202" s="3">
        <v>42217</v>
      </c>
      <c r="B202" s="2">
        <v>238.03299999999999</v>
      </c>
    </row>
    <row r="203" spans="1:2" x14ac:dyDescent="0.2">
      <c r="A203" s="3">
        <v>42248</v>
      </c>
      <c r="B203" s="2">
        <v>237.49799999999999</v>
      </c>
    </row>
    <row r="204" spans="1:2" x14ac:dyDescent="0.2">
      <c r="A204" s="3">
        <v>42278</v>
      </c>
      <c r="B204" s="2">
        <v>237.733</v>
      </c>
    </row>
    <row r="205" spans="1:2" x14ac:dyDescent="0.2">
      <c r="A205" s="3">
        <v>42309</v>
      </c>
      <c r="B205" s="2">
        <v>238.017</v>
      </c>
    </row>
    <row r="206" spans="1:2" x14ac:dyDescent="0.2">
      <c r="A206" s="3">
        <v>42339</v>
      </c>
      <c r="B206" s="2">
        <v>237.761</v>
      </c>
    </row>
    <row r="207" spans="1:2" x14ac:dyDescent="0.2">
      <c r="A207" s="3">
        <v>42370</v>
      </c>
      <c r="B207" s="2">
        <v>237.65199999999999</v>
      </c>
    </row>
    <row r="208" spans="1:2" x14ac:dyDescent="0.2">
      <c r="A208" s="3">
        <v>42401</v>
      </c>
      <c r="B208" s="2">
        <v>237.33600000000001</v>
      </c>
    </row>
    <row r="209" spans="1:2" x14ac:dyDescent="0.2">
      <c r="A209" s="3">
        <v>42430</v>
      </c>
      <c r="B209" s="2">
        <v>238.08</v>
      </c>
    </row>
    <row r="210" spans="1:2" x14ac:dyDescent="0.2">
      <c r="A210" s="3">
        <v>42461</v>
      </c>
      <c r="B210" s="2">
        <v>238.99199999999999</v>
      </c>
    </row>
    <row r="211" spans="1:2" x14ac:dyDescent="0.2">
      <c r="A211" s="3">
        <v>42491</v>
      </c>
      <c r="B211" s="2">
        <v>239.55699999999999</v>
      </c>
    </row>
    <row r="212" spans="1:2" x14ac:dyDescent="0.2">
      <c r="A212" s="3">
        <v>42522</v>
      </c>
      <c r="B212" s="2">
        <v>240.22200000000001</v>
      </c>
    </row>
    <row r="213" spans="1:2" x14ac:dyDescent="0.2">
      <c r="A213" s="3">
        <v>42552</v>
      </c>
      <c r="B213" s="2">
        <v>240.101</v>
      </c>
    </row>
    <row r="214" spans="1:2" x14ac:dyDescent="0.2">
      <c r="A214" s="3">
        <v>42583</v>
      </c>
      <c r="B214" s="2">
        <v>240.54499999999999</v>
      </c>
    </row>
    <row r="215" spans="1:2" x14ac:dyDescent="0.2">
      <c r="A215" s="3">
        <v>42614</v>
      </c>
      <c r="B215" s="2">
        <v>241.17599999999999</v>
      </c>
    </row>
    <row r="216" spans="1:2" x14ac:dyDescent="0.2">
      <c r="A216" s="3">
        <v>42644</v>
      </c>
      <c r="B216" s="2">
        <v>241.74100000000001</v>
      </c>
    </row>
    <row r="217" spans="1:2" x14ac:dyDescent="0.2">
      <c r="A217" s="3">
        <v>42675</v>
      </c>
      <c r="B217" s="2">
        <v>242.02600000000001</v>
      </c>
    </row>
    <row r="218" spans="1:2" x14ac:dyDescent="0.2">
      <c r="A218" s="3">
        <v>42705</v>
      </c>
      <c r="B218" s="2">
        <v>242.637</v>
      </c>
    </row>
    <row r="219" spans="1:2" x14ac:dyDescent="0.2">
      <c r="A219" s="3">
        <v>42736</v>
      </c>
      <c r="B219" s="2">
        <v>243.61799999999999</v>
      </c>
    </row>
    <row r="220" spans="1:2" x14ac:dyDescent="0.2">
      <c r="A220" s="3">
        <v>42767</v>
      </c>
      <c r="B220" s="2">
        <v>244.006</v>
      </c>
    </row>
    <row r="221" spans="1:2" x14ac:dyDescent="0.2">
      <c r="A221" s="3">
        <v>42795</v>
      </c>
      <c r="B221" s="2">
        <v>243.892</v>
      </c>
    </row>
    <row r="222" spans="1:2" x14ac:dyDescent="0.2">
      <c r="A222" s="3">
        <v>42826</v>
      </c>
      <c r="B222" s="2">
        <v>244.19300000000001</v>
      </c>
    </row>
    <row r="223" spans="1:2" x14ac:dyDescent="0.2">
      <c r="A223" s="3">
        <v>42856</v>
      </c>
      <c r="B223" s="2">
        <v>244.00399999999999</v>
      </c>
    </row>
    <row r="224" spans="1:2" x14ac:dyDescent="0.2">
      <c r="A224" s="3">
        <v>42887</v>
      </c>
      <c r="B224" s="2">
        <v>244.16300000000001</v>
      </c>
    </row>
    <row r="225" spans="1:2" x14ac:dyDescent="0.2">
      <c r="A225" s="3">
        <v>42917</v>
      </c>
      <c r="B225" s="2">
        <v>244.24299999999999</v>
      </c>
    </row>
    <row r="226" spans="1:2" x14ac:dyDescent="0.2">
      <c r="A226" s="3">
        <v>42948</v>
      </c>
      <c r="B226" s="2">
        <v>245.18299999999999</v>
      </c>
    </row>
    <row r="227" spans="1:2" x14ac:dyDescent="0.2">
      <c r="A227" s="3">
        <v>42979</v>
      </c>
      <c r="B227" s="2">
        <v>246.435</v>
      </c>
    </row>
    <row r="228" spans="1:2" x14ac:dyDescent="0.2">
      <c r="A228" s="3">
        <v>43009</v>
      </c>
      <c r="B228" s="2">
        <v>246.626</v>
      </c>
    </row>
    <row r="229" spans="1:2" x14ac:dyDescent="0.2">
      <c r="A229" s="3">
        <v>43040</v>
      </c>
      <c r="B229" s="2">
        <v>247.28399999999999</v>
      </c>
    </row>
    <row r="230" spans="1:2" x14ac:dyDescent="0.2">
      <c r="A230" s="3">
        <v>43070</v>
      </c>
      <c r="B230" s="2">
        <v>247.80500000000001</v>
      </c>
    </row>
    <row r="231" spans="1:2" x14ac:dyDescent="0.2">
      <c r="A231" s="3">
        <v>43101</v>
      </c>
      <c r="B231" s="2">
        <v>248.85900000000001</v>
      </c>
    </row>
    <row r="232" spans="1:2" x14ac:dyDescent="0.2">
      <c r="A232" s="3">
        <v>43132</v>
      </c>
      <c r="B232" s="2">
        <v>249.529</v>
      </c>
    </row>
    <row r="233" spans="1:2" x14ac:dyDescent="0.2">
      <c r="A233" s="3">
        <v>43160</v>
      </c>
      <c r="B233" s="2">
        <v>249.577</v>
      </c>
    </row>
    <row r="234" spans="1:2" x14ac:dyDescent="0.2">
      <c r="A234" s="3">
        <v>43191</v>
      </c>
      <c r="B234" s="2">
        <v>250.227</v>
      </c>
    </row>
    <row r="235" spans="1:2" x14ac:dyDescent="0.2">
      <c r="A235" s="3">
        <v>43221</v>
      </c>
      <c r="B235" s="2">
        <v>250.792</v>
      </c>
    </row>
    <row r="236" spans="1:2" x14ac:dyDescent="0.2">
      <c r="A236" s="3">
        <v>43252</v>
      </c>
      <c r="B236" s="2">
        <v>251.018</v>
      </c>
    </row>
    <row r="237" spans="1:2" x14ac:dyDescent="0.2">
      <c r="A237" s="3">
        <v>43282</v>
      </c>
      <c r="B237" s="2">
        <v>251.214</v>
      </c>
    </row>
    <row r="238" spans="1:2" x14ac:dyDescent="0.2">
      <c r="A238" s="3">
        <v>43313</v>
      </c>
      <c r="B238" s="2">
        <v>251.66300000000001</v>
      </c>
    </row>
    <row r="239" spans="1:2" x14ac:dyDescent="0.2">
      <c r="A239" s="3">
        <v>43344</v>
      </c>
      <c r="B239" s="2">
        <v>252.18199999999999</v>
      </c>
    </row>
    <row r="240" spans="1:2" x14ac:dyDescent="0.2">
      <c r="A240" s="3">
        <v>43374</v>
      </c>
      <c r="B240" s="2">
        <v>252.77199999999999</v>
      </c>
    </row>
    <row r="241" spans="1:2" x14ac:dyDescent="0.2">
      <c r="A241" s="3">
        <v>43405</v>
      </c>
      <c r="B241" s="2">
        <v>252.59399999999999</v>
      </c>
    </row>
    <row r="242" spans="1:2" x14ac:dyDescent="0.2">
      <c r="A242" s="3">
        <v>43435</v>
      </c>
      <c r="B242" s="2">
        <v>252.767</v>
      </c>
    </row>
    <row r="243" spans="1:2" x14ac:dyDescent="0.2">
      <c r="A243" s="3">
        <v>43466</v>
      </c>
      <c r="B243" s="2">
        <v>252.56100000000001</v>
      </c>
    </row>
    <row r="244" spans="1:2" x14ac:dyDescent="0.2">
      <c r="A244" s="3">
        <v>43497</v>
      </c>
      <c r="B244" s="2">
        <v>253.31899999999999</v>
      </c>
    </row>
    <row r="245" spans="1:2" x14ac:dyDescent="0.2">
      <c r="A245" s="3">
        <v>43525</v>
      </c>
      <c r="B245" s="2">
        <v>254.27699999999999</v>
      </c>
    </row>
    <row r="246" spans="1:2" x14ac:dyDescent="0.2">
      <c r="A246" s="3">
        <v>43556</v>
      </c>
      <c r="B246" s="2">
        <v>255.233</v>
      </c>
    </row>
    <row r="247" spans="1:2" x14ac:dyDescent="0.2">
      <c r="A247" s="3">
        <v>43586</v>
      </c>
      <c r="B247" s="2">
        <v>255.29599999999999</v>
      </c>
    </row>
    <row r="248" spans="1:2" x14ac:dyDescent="0.2">
      <c r="A248" s="3">
        <v>43617</v>
      </c>
      <c r="B248" s="2">
        <v>255.21299999999999</v>
      </c>
    </row>
    <row r="249" spans="1:2" x14ac:dyDescent="0.2">
      <c r="A249" s="3">
        <v>43647</v>
      </c>
      <c r="B249" s="2">
        <v>255.80199999999999</v>
      </c>
    </row>
    <row r="250" spans="1:2" x14ac:dyDescent="0.2">
      <c r="A250" s="3">
        <v>43678</v>
      </c>
      <c r="B250" s="2">
        <v>256.036</v>
      </c>
    </row>
    <row r="251" spans="1:2" x14ac:dyDescent="0.2">
      <c r="A251" s="3">
        <v>43709</v>
      </c>
      <c r="B251" s="2">
        <v>256.43</v>
      </c>
    </row>
    <row r="252" spans="1:2" x14ac:dyDescent="0.2">
      <c r="A252" s="3">
        <v>43739</v>
      </c>
      <c r="B252" s="2">
        <v>257.15499999999997</v>
      </c>
    </row>
    <row r="253" spans="1:2" x14ac:dyDescent="0.2">
      <c r="A253" s="3">
        <v>43770</v>
      </c>
      <c r="B253" s="2">
        <v>257.87900000000002</v>
      </c>
    </row>
    <row r="254" spans="1:2" x14ac:dyDescent="0.2">
      <c r="A254" s="3">
        <v>43800</v>
      </c>
      <c r="B254" s="2">
        <v>258.63</v>
      </c>
    </row>
    <row r="255" spans="1:2" x14ac:dyDescent="0.2">
      <c r="A255" s="3">
        <v>43831</v>
      </c>
      <c r="B255" s="2">
        <v>259.12700000000001</v>
      </c>
    </row>
    <row r="256" spans="1:2" x14ac:dyDescent="0.2">
      <c r="A256" s="3">
        <v>43862</v>
      </c>
      <c r="B256" s="2">
        <v>259.25</v>
      </c>
    </row>
    <row r="257" spans="1:2" x14ac:dyDescent="0.2">
      <c r="A257" s="3">
        <v>43891</v>
      </c>
      <c r="B257" s="2">
        <v>258.07600000000002</v>
      </c>
    </row>
    <row r="258" spans="1:2" x14ac:dyDescent="0.2">
      <c r="A258" s="3">
        <v>43922</v>
      </c>
      <c r="B258" s="2">
        <v>256.03199999999998</v>
      </c>
    </row>
    <row r="259" spans="1:2" x14ac:dyDescent="0.2">
      <c r="A259" s="3">
        <v>43952</v>
      </c>
      <c r="B259" s="2">
        <v>255.80199999999999</v>
      </c>
    </row>
    <row r="260" spans="1:2" x14ac:dyDescent="0.2">
      <c r="A260" s="3">
        <v>43983</v>
      </c>
      <c r="B260" s="2">
        <v>257.04199999999997</v>
      </c>
    </row>
    <row r="261" spans="1:2" x14ac:dyDescent="0.2">
      <c r="A261" s="3">
        <v>44013</v>
      </c>
      <c r="B261" s="2">
        <v>258.35199999999998</v>
      </c>
    </row>
    <row r="262" spans="1:2" x14ac:dyDescent="0.2">
      <c r="A262" s="3">
        <v>44044</v>
      </c>
      <c r="B262" s="2">
        <v>259.31599999999997</v>
      </c>
    </row>
    <row r="263" spans="1:2" x14ac:dyDescent="0.2">
      <c r="A263" s="3">
        <v>44075</v>
      </c>
      <c r="B263" s="2">
        <v>259.99700000000001</v>
      </c>
    </row>
    <row r="264" spans="1:2" x14ac:dyDescent="0.2">
      <c r="A264" s="3">
        <v>44105</v>
      </c>
      <c r="B264" s="2">
        <v>260.31900000000002</v>
      </c>
    </row>
    <row r="265" spans="1:2" x14ac:dyDescent="0.2">
      <c r="A265" s="3">
        <v>44136</v>
      </c>
      <c r="B265" s="2">
        <v>260.911</v>
      </c>
    </row>
    <row r="266" spans="1:2" x14ac:dyDescent="0.2">
      <c r="A266" s="3">
        <v>44166</v>
      </c>
      <c r="B266" s="2">
        <v>262.04500000000002</v>
      </c>
    </row>
    <row r="267" spans="1:2" x14ac:dyDescent="0.2">
      <c r="A267" s="3">
        <v>44197</v>
      </c>
      <c r="B267" s="2">
        <v>262.63900000000001</v>
      </c>
    </row>
    <row r="268" spans="1:2" x14ac:dyDescent="0.2">
      <c r="A268" s="3">
        <v>44228</v>
      </c>
      <c r="B268" s="2">
        <v>263.57299999999998</v>
      </c>
    </row>
    <row r="269" spans="1:2" x14ac:dyDescent="0.2">
      <c r="A269" s="3">
        <v>44256</v>
      </c>
      <c r="B269" s="2">
        <v>264.84699999999998</v>
      </c>
    </row>
    <row r="270" spans="1:2" x14ac:dyDescent="0.2">
      <c r="A270" s="3">
        <v>44287</v>
      </c>
      <c r="B270" s="2">
        <v>266.625</v>
      </c>
    </row>
    <row r="271" spans="1:2" x14ac:dyDescent="0.2">
      <c r="A271" s="3">
        <v>44317</v>
      </c>
      <c r="B271" s="2">
        <v>268.404</v>
      </c>
    </row>
    <row r="272" spans="1:2" x14ac:dyDescent="0.2">
      <c r="A272" s="3">
        <v>44348</v>
      </c>
      <c r="B272" s="2">
        <v>270.70999999999998</v>
      </c>
    </row>
    <row r="273" spans="1:2" x14ac:dyDescent="0.2">
      <c r="A273" s="3">
        <v>44378</v>
      </c>
      <c r="B273" s="2">
        <v>271.96499999999997</v>
      </c>
    </row>
    <row r="274" spans="1:2" x14ac:dyDescent="0.2">
      <c r="A274" s="3">
        <v>44409</v>
      </c>
      <c r="B274" s="2">
        <v>272.75200000000001</v>
      </c>
    </row>
    <row r="275" spans="1:2" x14ac:dyDescent="0.2">
      <c r="A275" s="3">
        <v>44440</v>
      </c>
      <c r="B275" s="2">
        <v>273.94200000000001</v>
      </c>
    </row>
    <row r="276" spans="1:2" x14ac:dyDescent="0.2">
      <c r="A276" s="3">
        <v>44470</v>
      </c>
      <c r="B276" s="2">
        <v>276.52800000000002</v>
      </c>
    </row>
    <row r="277" spans="1:2" x14ac:dyDescent="0.2">
      <c r="A277" s="3">
        <v>44501</v>
      </c>
      <c r="B277" s="2">
        <v>278.82400000000001</v>
      </c>
    </row>
    <row r="278" spans="1:2" x14ac:dyDescent="0.2">
      <c r="A278" s="3">
        <v>44531</v>
      </c>
      <c r="B278" s="2">
        <v>280.80599999999998</v>
      </c>
    </row>
    <row r="279" spans="1:2" x14ac:dyDescent="0.2">
      <c r="A279" s="3">
        <v>44562</v>
      </c>
      <c r="B279" s="2">
        <v>282.54199999999997</v>
      </c>
    </row>
    <row r="280" spans="1:2" x14ac:dyDescent="0.2">
      <c r="A280" s="3">
        <v>44593</v>
      </c>
      <c r="B280" s="2">
        <v>284.52499999999998</v>
      </c>
    </row>
    <row r="281" spans="1:2" x14ac:dyDescent="0.2">
      <c r="A281" s="3">
        <v>44621</v>
      </c>
      <c r="B281" s="2">
        <v>287.46699999999998</v>
      </c>
    </row>
    <row r="282" spans="1:2" x14ac:dyDescent="0.2">
      <c r="A282" s="3">
        <v>44652</v>
      </c>
      <c r="B282" s="2">
        <v>288.58199999999999</v>
      </c>
    </row>
    <row r="283" spans="1:2" x14ac:dyDescent="0.2">
      <c r="A283" s="3">
        <v>44682</v>
      </c>
      <c r="B283" s="2">
        <v>291.29899999999998</v>
      </c>
    </row>
    <row r="284" spans="1:2" x14ac:dyDescent="0.2">
      <c r="A284" s="3">
        <v>44713</v>
      </c>
      <c r="B284" s="2">
        <v>295.072</v>
      </c>
    </row>
    <row r="285" spans="1:2" x14ac:dyDescent="0.2">
      <c r="A285" s="3">
        <v>44743</v>
      </c>
      <c r="B285" s="2">
        <v>294.94</v>
      </c>
    </row>
    <row r="286" spans="1:2" x14ac:dyDescent="0.2">
      <c r="A286" s="3">
        <v>44774</v>
      </c>
      <c r="B286" s="2">
        <v>295.16199999999998</v>
      </c>
    </row>
    <row r="287" spans="1:2" x14ac:dyDescent="0.2">
      <c r="A287" s="3">
        <v>44805</v>
      </c>
      <c r="B287" s="2">
        <v>296.42099999999999</v>
      </c>
    </row>
    <row r="288" spans="1:2" x14ac:dyDescent="0.2">
      <c r="A288" s="3">
        <v>44835</v>
      </c>
      <c r="B288" s="2">
        <v>297.97899999999998</v>
      </c>
    </row>
    <row r="289" spans="1:2" x14ac:dyDescent="0.2">
      <c r="A289" s="3">
        <v>44866</v>
      </c>
      <c r="B289" s="2">
        <v>298.70800000000003</v>
      </c>
    </row>
    <row r="290" spans="1:2" x14ac:dyDescent="0.2">
      <c r="A290" s="3">
        <v>44896</v>
      </c>
      <c r="B290" s="2">
        <v>298.80799999999999</v>
      </c>
    </row>
    <row r="291" spans="1:2" x14ac:dyDescent="0.2">
      <c r="A291" s="3">
        <v>44927</v>
      </c>
      <c r="B291" s="2">
        <v>300.45600000000002</v>
      </c>
    </row>
    <row r="292" spans="1:2" x14ac:dyDescent="0.2">
      <c r="A292" s="3">
        <v>44958</v>
      </c>
      <c r="B292" s="2">
        <v>301.476</v>
      </c>
    </row>
    <row r="293" spans="1:2" x14ac:dyDescent="0.2">
      <c r="A293" s="3">
        <v>44986</v>
      </c>
      <c r="B293" s="2">
        <v>301.64299999999997</v>
      </c>
    </row>
    <row r="294" spans="1:2" x14ac:dyDescent="0.2">
      <c r="A294" s="3">
        <v>45017</v>
      </c>
      <c r="B294" s="2">
        <v>302.858</v>
      </c>
    </row>
    <row r="295" spans="1:2" x14ac:dyDescent="0.2">
      <c r="A295" s="3">
        <v>45047</v>
      </c>
      <c r="B295" s="2">
        <v>303.31599999999997</v>
      </c>
    </row>
    <row r="296" spans="1:2" x14ac:dyDescent="0.2">
      <c r="A296" s="3">
        <v>45078</v>
      </c>
      <c r="B296" s="2">
        <v>304.09899999999999</v>
      </c>
    </row>
    <row r="297" spans="1:2" x14ac:dyDescent="0.2">
      <c r="A297" s="3">
        <v>45108</v>
      </c>
      <c r="B297" s="2">
        <v>304.61500000000001</v>
      </c>
    </row>
    <row r="298" spans="1:2" x14ac:dyDescent="0.2">
      <c r="A298" s="3">
        <v>45139</v>
      </c>
      <c r="B298" s="2">
        <v>306.13799999999998</v>
      </c>
    </row>
    <row r="299" spans="1:2" x14ac:dyDescent="0.2">
      <c r="A299" s="3">
        <v>45170</v>
      </c>
      <c r="B299" s="2">
        <v>307.37400000000002</v>
      </c>
    </row>
    <row r="300" spans="1:2" x14ac:dyDescent="0.2">
      <c r="A300" s="3">
        <v>45200</v>
      </c>
      <c r="B300" s="2">
        <v>307.65300000000002</v>
      </c>
    </row>
    <row r="301" spans="1:2" x14ac:dyDescent="0.2">
      <c r="A301" s="3">
        <v>45231</v>
      </c>
      <c r="B301" s="2">
        <v>308.08699999999999</v>
      </c>
    </row>
    <row r="302" spans="1:2" x14ac:dyDescent="0.2">
      <c r="A302" s="3">
        <v>45261</v>
      </c>
      <c r="B302" s="2">
        <v>308.73500000000001</v>
      </c>
    </row>
    <row r="303" spans="1:2" x14ac:dyDescent="0.2">
      <c r="A303" s="3">
        <v>45292</v>
      </c>
      <c r="B303" s="2">
        <v>309.79399999999998</v>
      </c>
    </row>
    <row r="304" spans="1:2" x14ac:dyDescent="0.2">
      <c r="A304" s="3">
        <v>45323</v>
      </c>
      <c r="B304" s="2">
        <v>311.02199999999999</v>
      </c>
    </row>
    <row r="305" spans="1:2" x14ac:dyDescent="0.2">
      <c r="A305" s="3">
        <v>45352</v>
      </c>
      <c r="B305" s="2">
        <v>312.10700000000003</v>
      </c>
    </row>
    <row r="306" spans="1:2" x14ac:dyDescent="0.2">
      <c r="A306" s="3">
        <v>45383</v>
      </c>
      <c r="B306" s="2">
        <v>313.01600000000002</v>
      </c>
    </row>
    <row r="307" spans="1:2" x14ac:dyDescent="0.2">
      <c r="A307" s="3">
        <v>45413</v>
      </c>
      <c r="B307" s="2">
        <v>313.14</v>
      </c>
    </row>
    <row r="308" spans="1:2" x14ac:dyDescent="0.2">
      <c r="A308" s="3">
        <v>45444</v>
      </c>
      <c r="B308" s="2">
        <v>313.13099999999997</v>
      </c>
    </row>
    <row r="309" spans="1:2" x14ac:dyDescent="0.2">
      <c r="A309" s="3">
        <v>45474</v>
      </c>
      <c r="B309" s="2">
        <v>313.56599999999997</v>
      </c>
    </row>
    <row r="310" spans="1:2" x14ac:dyDescent="0.2">
      <c r="A310" s="3">
        <v>45505</v>
      </c>
      <c r="B310" s="2">
        <v>314.13099999999997</v>
      </c>
    </row>
    <row r="311" spans="1:2" x14ac:dyDescent="0.2">
      <c r="A311" s="3">
        <v>45536</v>
      </c>
      <c r="B311" s="2">
        <v>314.851</v>
      </c>
    </row>
    <row r="312" spans="1:2" x14ac:dyDescent="0.2">
      <c r="A312" s="3">
        <v>45566</v>
      </c>
      <c r="B312" s="2">
        <v>315.56400000000002</v>
      </c>
    </row>
    <row r="313" spans="1:2" x14ac:dyDescent="0.2">
      <c r="A313" s="3">
        <v>45597</v>
      </c>
      <c r="B313" s="2">
        <v>316.44900000000001</v>
      </c>
    </row>
    <row r="314" spans="1:2" x14ac:dyDescent="0.2">
      <c r="A314" s="3">
        <v>45627</v>
      </c>
      <c r="B314" s="2">
        <v>317.60300000000001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0557-917E-9944-B0F7-E0663DB63861}">
  <dimension ref="A1:B314"/>
  <sheetViews>
    <sheetView zoomScale="111" zoomScaleNormal="111" workbookViewId="0">
      <selection activeCell="B2" sqref="B2:B314"/>
    </sheetView>
  </sheetViews>
  <sheetFormatPr baseColWidth="10" defaultColWidth="8.83203125" defaultRowHeight="15" x14ac:dyDescent="0.2"/>
  <cols>
    <col min="1" max="1" width="16.5" bestFit="1" customWidth="1"/>
    <col min="2" max="2" width="18.5" style="2" bestFit="1" customWidth="1"/>
  </cols>
  <sheetData>
    <row r="1" spans="1:2" x14ac:dyDescent="0.2">
      <c r="A1" s="4" t="s">
        <v>5</v>
      </c>
      <c r="B1" s="4" t="s">
        <v>14</v>
      </c>
    </row>
    <row r="2" spans="1:2" x14ac:dyDescent="0.2">
      <c r="A2" s="3">
        <v>36130</v>
      </c>
      <c r="B2" s="2">
        <v>1017.16</v>
      </c>
    </row>
    <row r="3" spans="1:2" x14ac:dyDescent="0.2">
      <c r="A3" s="3">
        <v>36161</v>
      </c>
      <c r="B3" s="2">
        <v>1027.55</v>
      </c>
    </row>
    <row r="4" spans="1:2" x14ac:dyDescent="0.2">
      <c r="A4" s="3">
        <v>36192</v>
      </c>
      <c r="B4" s="2">
        <v>1001.24</v>
      </c>
    </row>
    <row r="5" spans="1:2" x14ac:dyDescent="0.2">
      <c r="A5" s="3">
        <v>36220</v>
      </c>
      <c r="B5" s="2">
        <v>1010.34</v>
      </c>
    </row>
    <row r="6" spans="1:2" x14ac:dyDescent="0.2">
      <c r="A6" s="3">
        <v>36251</v>
      </c>
      <c r="B6" s="2">
        <v>1013.85</v>
      </c>
    </row>
    <row r="7" spans="1:2" x14ac:dyDescent="0.2">
      <c r="A7" s="3">
        <v>36281</v>
      </c>
      <c r="B7" s="2">
        <v>999.18</v>
      </c>
    </row>
    <row r="8" spans="1:2" x14ac:dyDescent="0.2">
      <c r="A8" s="3">
        <v>36312</v>
      </c>
      <c r="B8" s="2">
        <v>994.25</v>
      </c>
    </row>
    <row r="9" spans="1:2" x14ac:dyDescent="0.2">
      <c r="A9" s="3">
        <v>36342</v>
      </c>
      <c r="B9" s="2">
        <v>988.44</v>
      </c>
    </row>
    <row r="10" spans="1:2" x14ac:dyDescent="0.2">
      <c r="A10" s="3">
        <v>36373</v>
      </c>
      <c r="B10" s="2">
        <v>985.9</v>
      </c>
    </row>
    <row r="11" spans="1:2" x14ac:dyDescent="0.2">
      <c r="A11" s="3">
        <v>36404</v>
      </c>
      <c r="B11" s="2">
        <v>997.08</v>
      </c>
    </row>
    <row r="12" spans="1:2" x14ac:dyDescent="0.2">
      <c r="A12" s="3">
        <v>36434</v>
      </c>
      <c r="B12" s="2">
        <v>1000.18</v>
      </c>
    </row>
    <row r="13" spans="1:2" x14ac:dyDescent="0.2">
      <c r="A13" s="3">
        <v>36465</v>
      </c>
      <c r="B13" s="2">
        <v>1001.56</v>
      </c>
    </row>
    <row r="14" spans="1:2" x14ac:dyDescent="0.2">
      <c r="A14" s="3">
        <v>36495</v>
      </c>
      <c r="B14" s="2">
        <v>997.97</v>
      </c>
    </row>
    <row r="15" spans="1:2" x14ac:dyDescent="0.2">
      <c r="A15" s="3">
        <v>36526</v>
      </c>
      <c r="B15" s="2">
        <v>994.63</v>
      </c>
    </row>
    <row r="16" spans="1:2" x14ac:dyDescent="0.2">
      <c r="A16" s="3">
        <v>36557</v>
      </c>
      <c r="B16" s="2">
        <v>1002.33</v>
      </c>
    </row>
    <row r="17" spans="1:2" x14ac:dyDescent="0.2">
      <c r="A17" s="3">
        <v>36586</v>
      </c>
      <c r="B17" s="2">
        <v>1013.44</v>
      </c>
    </row>
    <row r="18" spans="1:2" x14ac:dyDescent="0.2">
      <c r="A18" s="3">
        <v>36617</v>
      </c>
      <c r="B18" s="2">
        <v>1000.92</v>
      </c>
    </row>
    <row r="19" spans="1:2" x14ac:dyDescent="0.2">
      <c r="A19" s="3">
        <v>36647</v>
      </c>
      <c r="B19" s="2">
        <v>995.34</v>
      </c>
    </row>
    <row r="20" spans="1:2" x14ac:dyDescent="0.2">
      <c r="A20" s="3">
        <v>36678</v>
      </c>
      <c r="B20" s="2">
        <v>1020.15</v>
      </c>
    </row>
    <row r="21" spans="1:2" x14ac:dyDescent="0.2">
      <c r="A21" s="3">
        <v>36708</v>
      </c>
      <c r="B21" s="2">
        <v>1032.21</v>
      </c>
    </row>
    <row r="22" spans="1:2" x14ac:dyDescent="0.2">
      <c r="A22" s="3">
        <v>36739</v>
      </c>
      <c r="B22" s="2">
        <v>1045.58</v>
      </c>
    </row>
    <row r="23" spans="1:2" x14ac:dyDescent="0.2">
      <c r="A23" s="3">
        <v>36770</v>
      </c>
      <c r="B23" s="2">
        <v>1053.8</v>
      </c>
    </row>
    <row r="24" spans="1:2" x14ac:dyDescent="0.2">
      <c r="A24" s="3">
        <v>36800</v>
      </c>
      <c r="B24" s="2">
        <v>1053.24</v>
      </c>
    </row>
    <row r="25" spans="1:2" x14ac:dyDescent="0.2">
      <c r="A25" s="3">
        <v>36831</v>
      </c>
      <c r="B25" s="2">
        <v>1068.24</v>
      </c>
    </row>
    <row r="26" spans="1:2" x14ac:dyDescent="0.2">
      <c r="A26" s="3">
        <v>36861</v>
      </c>
      <c r="B26" s="2">
        <v>1089.1300000000001</v>
      </c>
    </row>
    <row r="27" spans="1:2" x14ac:dyDescent="0.2">
      <c r="A27" s="3">
        <v>36892</v>
      </c>
      <c r="B27" s="2">
        <v>1117.8399999999999</v>
      </c>
    </row>
    <row r="28" spans="1:2" x14ac:dyDescent="0.2">
      <c r="A28" s="3">
        <v>36923</v>
      </c>
      <c r="B28" s="2">
        <v>1128.81</v>
      </c>
    </row>
    <row r="29" spans="1:2" x14ac:dyDescent="0.2">
      <c r="A29" s="3">
        <v>36951</v>
      </c>
      <c r="B29" s="2">
        <v>1137.56</v>
      </c>
    </row>
    <row r="30" spans="1:2" x14ac:dyDescent="0.2">
      <c r="A30" s="3">
        <v>36982</v>
      </c>
      <c r="B30" s="2">
        <v>1131.5999999999999</v>
      </c>
    </row>
    <row r="31" spans="1:2" x14ac:dyDescent="0.2">
      <c r="A31" s="3">
        <v>37012</v>
      </c>
      <c r="B31" s="2">
        <v>1143.17</v>
      </c>
    </row>
    <row r="32" spans="1:2" x14ac:dyDescent="0.2">
      <c r="A32" s="3">
        <v>37043</v>
      </c>
      <c r="B32" s="2">
        <v>1148.33</v>
      </c>
    </row>
    <row r="33" spans="1:2" x14ac:dyDescent="0.2">
      <c r="A33" s="3">
        <v>37073</v>
      </c>
      <c r="B33" s="2">
        <v>1180.49</v>
      </c>
    </row>
    <row r="34" spans="1:2" x14ac:dyDescent="0.2">
      <c r="A34" s="3">
        <v>37104</v>
      </c>
      <c r="B34" s="2">
        <v>1193.3</v>
      </c>
    </row>
    <row r="35" spans="1:2" x14ac:dyDescent="0.2">
      <c r="A35" s="3">
        <v>37135</v>
      </c>
      <c r="B35" s="2">
        <v>1196.5899999999999</v>
      </c>
    </row>
    <row r="36" spans="1:2" x14ac:dyDescent="0.2">
      <c r="A36" s="3">
        <v>37165</v>
      </c>
      <c r="B36" s="2">
        <v>1222.8699999999999</v>
      </c>
    </row>
    <row r="37" spans="1:2" x14ac:dyDescent="0.2">
      <c r="A37" s="3">
        <v>37196</v>
      </c>
      <c r="B37" s="2">
        <v>1212.8399999999999</v>
      </c>
    </row>
    <row r="38" spans="1:2" x14ac:dyDescent="0.2">
      <c r="A38" s="3">
        <v>37226</v>
      </c>
      <c r="B38" s="2">
        <v>1205.7</v>
      </c>
    </row>
    <row r="39" spans="1:2" x14ac:dyDescent="0.2">
      <c r="A39" s="3">
        <v>37257</v>
      </c>
      <c r="B39" s="2">
        <v>1211.93</v>
      </c>
    </row>
    <row r="40" spans="1:2" x14ac:dyDescent="0.2">
      <c r="A40" s="3">
        <v>37288</v>
      </c>
      <c r="B40" s="2">
        <v>1221.07</v>
      </c>
    </row>
    <row r="41" spans="1:2" x14ac:dyDescent="0.2">
      <c r="A41" s="3">
        <v>37316</v>
      </c>
      <c r="B41" s="2">
        <v>1198.3</v>
      </c>
    </row>
    <row r="42" spans="1:2" x14ac:dyDescent="0.2">
      <c r="A42" s="3">
        <v>37347</v>
      </c>
      <c r="B42" s="2">
        <v>1213.8399999999999</v>
      </c>
    </row>
    <row r="43" spans="1:2" x14ac:dyDescent="0.2">
      <c r="A43" s="3">
        <v>37377</v>
      </c>
      <c r="B43" s="2">
        <v>1229.49</v>
      </c>
    </row>
    <row r="44" spans="1:2" x14ac:dyDescent="0.2">
      <c r="A44" s="3">
        <v>37408</v>
      </c>
      <c r="B44" s="2">
        <v>1229.6400000000001</v>
      </c>
    </row>
    <row r="45" spans="1:2" x14ac:dyDescent="0.2">
      <c r="A45" s="3">
        <v>37438</v>
      </c>
      <c r="B45" s="2">
        <v>1230.31</v>
      </c>
    </row>
    <row r="46" spans="1:2" x14ac:dyDescent="0.2">
      <c r="A46" s="3">
        <v>37469</v>
      </c>
      <c r="B46" s="2">
        <v>1262.82</v>
      </c>
    </row>
    <row r="47" spans="1:2" x14ac:dyDescent="0.2">
      <c r="A47" s="3">
        <v>37500</v>
      </c>
      <c r="B47" s="2">
        <v>1287.29</v>
      </c>
    </row>
    <row r="48" spans="1:2" x14ac:dyDescent="0.2">
      <c r="A48" s="3">
        <v>37530</v>
      </c>
      <c r="B48" s="2">
        <v>1270.8599999999999</v>
      </c>
    </row>
    <row r="49" spans="1:2" x14ac:dyDescent="0.2">
      <c r="A49" s="3">
        <v>37561</v>
      </c>
      <c r="B49" s="2">
        <v>1288.4100000000001</v>
      </c>
    </row>
    <row r="50" spans="1:2" x14ac:dyDescent="0.2">
      <c r="A50" s="3">
        <v>37591</v>
      </c>
      <c r="B50" s="2">
        <v>1328.32</v>
      </c>
    </row>
    <row r="51" spans="1:2" x14ac:dyDescent="0.2">
      <c r="A51" s="3">
        <v>37622</v>
      </c>
      <c r="B51" s="2">
        <v>1332.92</v>
      </c>
    </row>
    <row r="52" spans="1:2" x14ac:dyDescent="0.2">
      <c r="A52" s="3">
        <v>37653</v>
      </c>
      <c r="B52" s="2">
        <v>1360.72</v>
      </c>
    </row>
    <row r="53" spans="1:2" x14ac:dyDescent="0.2">
      <c r="A53" s="3">
        <v>37681</v>
      </c>
      <c r="B53" s="2">
        <v>1361.96</v>
      </c>
    </row>
    <row r="54" spans="1:2" x14ac:dyDescent="0.2">
      <c r="A54" s="3">
        <v>37712</v>
      </c>
      <c r="B54" s="2">
        <v>1387.85</v>
      </c>
    </row>
    <row r="55" spans="1:2" x14ac:dyDescent="0.2">
      <c r="A55" s="3">
        <v>37742</v>
      </c>
      <c r="B55" s="2">
        <v>1432.09</v>
      </c>
    </row>
    <row r="56" spans="1:2" x14ac:dyDescent="0.2">
      <c r="A56" s="3">
        <v>37773</v>
      </c>
      <c r="B56" s="2">
        <v>1429.74</v>
      </c>
    </row>
    <row r="57" spans="1:2" x14ac:dyDescent="0.2">
      <c r="A57" s="3">
        <v>37803</v>
      </c>
      <c r="B57" s="2">
        <v>1369.38</v>
      </c>
    </row>
    <row r="58" spans="1:2" x14ac:dyDescent="0.2">
      <c r="A58" s="3">
        <v>37834</v>
      </c>
      <c r="B58" s="2">
        <v>1380.13</v>
      </c>
    </row>
    <row r="59" spans="1:2" x14ac:dyDescent="0.2">
      <c r="A59" s="3">
        <v>37865</v>
      </c>
      <c r="B59" s="2">
        <v>1429.39</v>
      </c>
    </row>
    <row r="60" spans="1:2" x14ac:dyDescent="0.2">
      <c r="A60" s="3">
        <v>37895</v>
      </c>
      <c r="B60" s="2">
        <v>1413.33</v>
      </c>
    </row>
    <row r="61" spans="1:2" x14ac:dyDescent="0.2">
      <c r="A61" s="3">
        <v>37926</v>
      </c>
      <c r="B61" s="2">
        <v>1420.22</v>
      </c>
    </row>
    <row r="62" spans="1:2" x14ac:dyDescent="0.2">
      <c r="A62" s="3">
        <v>37956</v>
      </c>
      <c r="B62" s="2">
        <v>1438.7</v>
      </c>
    </row>
    <row r="63" spans="1:2" x14ac:dyDescent="0.2">
      <c r="A63" s="3">
        <v>37987</v>
      </c>
      <c r="B63" s="2">
        <v>1454.19</v>
      </c>
    </row>
    <row r="64" spans="1:2" x14ac:dyDescent="0.2">
      <c r="A64" s="3">
        <v>38018</v>
      </c>
      <c r="B64" s="2">
        <v>1471.1</v>
      </c>
    </row>
    <row r="65" spans="1:2" x14ac:dyDescent="0.2">
      <c r="A65" s="3">
        <v>38047</v>
      </c>
      <c r="B65" s="2">
        <v>1486.18</v>
      </c>
    </row>
    <row r="66" spans="1:2" x14ac:dyDescent="0.2">
      <c r="A66" s="3">
        <v>38078</v>
      </c>
      <c r="B66" s="2">
        <v>1440</v>
      </c>
    </row>
    <row r="67" spans="1:2" x14ac:dyDescent="0.2">
      <c r="A67" s="3">
        <v>38108</v>
      </c>
      <c r="B67" s="2">
        <v>1429.8</v>
      </c>
    </row>
    <row r="68" spans="1:2" x14ac:dyDescent="0.2">
      <c r="A68" s="3">
        <v>38139</v>
      </c>
      <c r="B68" s="2">
        <v>1436.75</v>
      </c>
    </row>
    <row r="69" spans="1:2" x14ac:dyDescent="0.2">
      <c r="A69" s="3">
        <v>38169</v>
      </c>
      <c r="B69" s="2">
        <v>1454.11</v>
      </c>
    </row>
    <row r="70" spans="1:2" x14ac:dyDescent="0.2">
      <c r="A70" s="3">
        <v>38200</v>
      </c>
      <c r="B70" s="2">
        <v>1488.21</v>
      </c>
    </row>
    <row r="71" spans="1:2" x14ac:dyDescent="0.2">
      <c r="A71" s="3">
        <v>38231</v>
      </c>
      <c r="B71" s="2">
        <v>1495.99</v>
      </c>
    </row>
    <row r="72" spans="1:2" x14ac:dyDescent="0.2">
      <c r="A72" s="3">
        <v>38261</v>
      </c>
      <c r="B72" s="2">
        <v>1511.11</v>
      </c>
    </row>
    <row r="73" spans="1:2" x14ac:dyDescent="0.2">
      <c r="A73" s="3">
        <v>38292</v>
      </c>
      <c r="B73" s="2">
        <v>1495.4</v>
      </c>
    </row>
    <row r="74" spans="1:2" x14ac:dyDescent="0.2">
      <c r="A74" s="3">
        <v>38322</v>
      </c>
      <c r="B74" s="2">
        <v>1516.6</v>
      </c>
    </row>
    <row r="75" spans="1:2" x14ac:dyDescent="0.2">
      <c r="A75" s="3">
        <v>38353</v>
      </c>
      <c r="B75" s="2">
        <v>1528.87</v>
      </c>
    </row>
    <row r="76" spans="1:2" x14ac:dyDescent="0.2">
      <c r="A76" s="3">
        <v>38384</v>
      </c>
      <c r="B76" s="2">
        <v>1519.03</v>
      </c>
    </row>
    <row r="77" spans="1:2" x14ac:dyDescent="0.2">
      <c r="A77" s="3">
        <v>38412</v>
      </c>
      <c r="B77" s="2">
        <v>1502.67</v>
      </c>
    </row>
    <row r="78" spans="1:2" x14ac:dyDescent="0.2">
      <c r="A78" s="3">
        <v>38443</v>
      </c>
      <c r="B78" s="2">
        <v>1523.58</v>
      </c>
    </row>
    <row r="79" spans="1:2" x14ac:dyDescent="0.2">
      <c r="A79" s="3">
        <v>38473</v>
      </c>
      <c r="B79" s="2">
        <v>1542.36</v>
      </c>
    </row>
    <row r="80" spans="1:2" x14ac:dyDescent="0.2">
      <c r="A80" s="3">
        <v>38504</v>
      </c>
      <c r="B80" s="2">
        <v>1554.79</v>
      </c>
    </row>
    <row r="81" spans="1:2" x14ac:dyDescent="0.2">
      <c r="A81" s="3">
        <v>38534</v>
      </c>
      <c r="B81" s="2">
        <v>1538.69</v>
      </c>
    </row>
    <row r="82" spans="1:2" x14ac:dyDescent="0.2">
      <c r="A82" s="3">
        <v>38565</v>
      </c>
      <c r="B82" s="2">
        <v>1563.76</v>
      </c>
    </row>
    <row r="83" spans="1:2" x14ac:dyDescent="0.2">
      <c r="A83" s="3">
        <v>38596</v>
      </c>
      <c r="B83" s="2">
        <v>1539.02</v>
      </c>
    </row>
    <row r="84" spans="1:2" x14ac:dyDescent="0.2">
      <c r="A84" s="3">
        <v>38626</v>
      </c>
      <c r="B84" s="2">
        <v>1523.19</v>
      </c>
    </row>
    <row r="85" spans="1:2" x14ac:dyDescent="0.2">
      <c r="A85" s="3">
        <v>38657</v>
      </c>
      <c r="B85" s="2">
        <v>1531.36</v>
      </c>
    </row>
    <row r="86" spans="1:2" x14ac:dyDescent="0.2">
      <c r="A86" s="3">
        <v>38687</v>
      </c>
      <c r="B86" s="2">
        <v>1546.51</v>
      </c>
    </row>
    <row r="87" spans="1:2" x14ac:dyDescent="0.2">
      <c r="A87" s="3">
        <v>38718</v>
      </c>
      <c r="B87" s="2">
        <v>1543.26</v>
      </c>
    </row>
    <row r="88" spans="1:2" x14ac:dyDescent="0.2">
      <c r="A88" s="3">
        <v>38749</v>
      </c>
      <c r="B88" s="2">
        <v>1549.4</v>
      </c>
    </row>
    <row r="89" spans="1:2" x14ac:dyDescent="0.2">
      <c r="A89" s="3">
        <v>38777</v>
      </c>
      <c r="B89" s="2">
        <v>1529.88</v>
      </c>
    </row>
    <row r="90" spans="1:2" x14ac:dyDescent="0.2">
      <c r="A90" s="3">
        <v>38808</v>
      </c>
      <c r="B90" s="2">
        <v>1523.8</v>
      </c>
    </row>
    <row r="91" spans="1:2" x14ac:dyDescent="0.2">
      <c r="A91" s="3">
        <v>38838</v>
      </c>
      <c r="B91" s="2">
        <v>1522.58</v>
      </c>
    </row>
    <row r="92" spans="1:2" x14ac:dyDescent="0.2">
      <c r="A92" s="3">
        <v>38869</v>
      </c>
      <c r="B92" s="2">
        <v>1523.72</v>
      </c>
    </row>
    <row r="93" spans="1:2" x14ac:dyDescent="0.2">
      <c r="A93" s="3">
        <v>38899</v>
      </c>
      <c r="B93" s="2">
        <v>1546.3</v>
      </c>
    </row>
    <row r="94" spans="1:2" x14ac:dyDescent="0.2">
      <c r="A94" s="3">
        <v>38930</v>
      </c>
      <c r="B94" s="2">
        <v>1575.23</v>
      </c>
    </row>
    <row r="95" spans="1:2" x14ac:dyDescent="0.2">
      <c r="A95" s="3">
        <v>38961</v>
      </c>
      <c r="B95" s="2">
        <v>1592.34</v>
      </c>
    </row>
    <row r="96" spans="1:2" x14ac:dyDescent="0.2">
      <c r="A96" s="3">
        <v>38991</v>
      </c>
      <c r="B96" s="2">
        <v>1606.07</v>
      </c>
    </row>
    <row r="97" spans="1:2" x14ac:dyDescent="0.2">
      <c r="A97" s="3">
        <v>39022</v>
      </c>
      <c r="B97" s="2">
        <v>1628.82</v>
      </c>
    </row>
    <row r="98" spans="1:2" x14ac:dyDescent="0.2">
      <c r="A98" s="3">
        <v>39052</v>
      </c>
      <c r="B98" s="2">
        <v>1614.19</v>
      </c>
    </row>
    <row r="99" spans="1:2" x14ac:dyDescent="0.2">
      <c r="A99" s="3">
        <v>39083</v>
      </c>
      <c r="B99" s="2">
        <v>1614.72</v>
      </c>
    </row>
    <row r="100" spans="1:2" x14ac:dyDescent="0.2">
      <c r="A100" s="3">
        <v>39114</v>
      </c>
      <c r="B100" s="2">
        <v>1647.49</v>
      </c>
    </row>
    <row r="101" spans="1:2" x14ac:dyDescent="0.2">
      <c r="A101" s="3">
        <v>39142</v>
      </c>
      <c r="B101" s="2">
        <v>1639.46</v>
      </c>
    </row>
    <row r="102" spans="1:2" x14ac:dyDescent="0.2">
      <c r="A102" s="3">
        <v>39173</v>
      </c>
      <c r="B102" s="2">
        <v>1651.59</v>
      </c>
    </row>
    <row r="103" spans="1:2" x14ac:dyDescent="0.2">
      <c r="A103" s="3">
        <v>39203</v>
      </c>
      <c r="B103" s="2">
        <v>1635.24</v>
      </c>
    </row>
    <row r="104" spans="1:2" x14ac:dyDescent="0.2">
      <c r="A104" s="3">
        <v>39234</v>
      </c>
      <c r="B104" s="2">
        <v>1627.38</v>
      </c>
    </row>
    <row r="105" spans="1:2" x14ac:dyDescent="0.2">
      <c r="A105" s="3">
        <v>39264</v>
      </c>
      <c r="B105" s="2">
        <v>1632.03</v>
      </c>
    </row>
    <row r="106" spans="1:2" x14ac:dyDescent="0.2">
      <c r="A106" s="3">
        <v>39295</v>
      </c>
      <c r="B106" s="2">
        <v>1648.1</v>
      </c>
    </row>
    <row r="107" spans="1:2" x14ac:dyDescent="0.2">
      <c r="A107" s="3">
        <v>39326</v>
      </c>
      <c r="B107" s="2">
        <v>1657.34</v>
      </c>
    </row>
    <row r="108" spans="1:2" x14ac:dyDescent="0.2">
      <c r="A108" s="3">
        <v>39356</v>
      </c>
      <c r="B108" s="2">
        <v>1675.35</v>
      </c>
    </row>
    <row r="109" spans="1:2" x14ac:dyDescent="0.2">
      <c r="A109" s="3">
        <v>39387</v>
      </c>
      <c r="B109" s="2">
        <v>1690.08</v>
      </c>
    </row>
    <row r="110" spans="1:2" x14ac:dyDescent="0.2">
      <c r="A110" s="3">
        <v>39417</v>
      </c>
      <c r="B110" s="2">
        <v>1689.14</v>
      </c>
    </row>
    <row r="111" spans="1:2" x14ac:dyDescent="0.2">
      <c r="A111" s="3">
        <v>39448</v>
      </c>
      <c r="B111" s="2">
        <v>1709.1</v>
      </c>
    </row>
    <row r="112" spans="1:2" x14ac:dyDescent="0.2">
      <c r="A112" s="3">
        <v>39479</v>
      </c>
      <c r="B112" s="2">
        <v>1710.33</v>
      </c>
    </row>
    <row r="113" spans="1:2" x14ac:dyDescent="0.2">
      <c r="A113" s="3">
        <v>39508</v>
      </c>
      <c r="B113" s="2">
        <v>1687.63</v>
      </c>
    </row>
    <row r="114" spans="1:2" x14ac:dyDescent="0.2">
      <c r="A114" s="3">
        <v>39539</v>
      </c>
      <c r="B114" s="2">
        <v>1697.29</v>
      </c>
    </row>
    <row r="115" spans="1:2" x14ac:dyDescent="0.2">
      <c r="A115" s="3">
        <v>39569</v>
      </c>
      <c r="B115" s="2">
        <v>1681.84</v>
      </c>
    </row>
    <row r="116" spans="1:2" x14ac:dyDescent="0.2">
      <c r="A116" s="3">
        <v>39600</v>
      </c>
      <c r="B116" s="2">
        <v>1675.39</v>
      </c>
    </row>
    <row r="117" spans="1:2" x14ac:dyDescent="0.2">
      <c r="A117" s="3">
        <v>39630</v>
      </c>
      <c r="B117" s="2">
        <v>1660.96</v>
      </c>
    </row>
    <row r="118" spans="1:2" x14ac:dyDescent="0.2">
      <c r="A118" s="3">
        <v>39661</v>
      </c>
      <c r="B118" s="2">
        <v>1672.62</v>
      </c>
    </row>
    <row r="119" spans="1:2" x14ac:dyDescent="0.2">
      <c r="A119" s="3">
        <v>39692</v>
      </c>
      <c r="B119" s="2">
        <v>1549.89</v>
      </c>
    </row>
    <row r="120" spans="1:2" x14ac:dyDescent="0.2">
      <c r="A120" s="3">
        <v>39722</v>
      </c>
      <c r="B120" s="2">
        <v>1435.49</v>
      </c>
    </row>
    <row r="121" spans="1:2" x14ac:dyDescent="0.2">
      <c r="A121" s="3">
        <v>39753</v>
      </c>
      <c r="B121" s="2">
        <v>1491.16</v>
      </c>
    </row>
    <row r="122" spans="1:2" x14ac:dyDescent="0.2">
      <c r="A122" s="3">
        <v>39783</v>
      </c>
      <c r="B122" s="2">
        <v>1573.98</v>
      </c>
    </row>
    <row r="123" spans="1:2" x14ac:dyDescent="0.2">
      <c r="A123" s="3">
        <v>39814</v>
      </c>
      <c r="B123" s="2">
        <v>1579.22</v>
      </c>
    </row>
    <row r="124" spans="1:2" x14ac:dyDescent="0.2">
      <c r="A124" s="3">
        <v>39845</v>
      </c>
      <c r="B124" s="2">
        <v>1554.62</v>
      </c>
    </row>
    <row r="125" spans="1:2" x14ac:dyDescent="0.2">
      <c r="A125" s="3">
        <v>39873</v>
      </c>
      <c r="B125" s="2">
        <v>1551.4</v>
      </c>
    </row>
    <row r="126" spans="1:2" x14ac:dyDescent="0.2">
      <c r="A126" s="3">
        <v>39904</v>
      </c>
      <c r="B126" s="2">
        <v>1599.25</v>
      </c>
    </row>
    <row r="127" spans="1:2" x14ac:dyDescent="0.2">
      <c r="A127" s="3">
        <v>39934</v>
      </c>
      <c r="B127" s="2">
        <v>1668.57</v>
      </c>
    </row>
    <row r="128" spans="1:2" x14ac:dyDescent="0.2">
      <c r="A128" s="3">
        <v>39965</v>
      </c>
      <c r="B128" s="2">
        <v>1719.22</v>
      </c>
    </row>
    <row r="129" spans="1:2" x14ac:dyDescent="0.2">
      <c r="A129" s="3">
        <v>39995</v>
      </c>
      <c r="B129" s="2">
        <v>1787.09</v>
      </c>
    </row>
    <row r="130" spans="1:2" x14ac:dyDescent="0.2">
      <c r="A130" s="3">
        <v>40026</v>
      </c>
      <c r="B130" s="2">
        <v>1825.74</v>
      </c>
    </row>
    <row r="131" spans="1:2" x14ac:dyDescent="0.2">
      <c r="A131" s="3">
        <v>40057</v>
      </c>
      <c r="B131" s="2">
        <v>1862.31</v>
      </c>
    </row>
    <row r="132" spans="1:2" x14ac:dyDescent="0.2">
      <c r="A132" s="3">
        <v>40087</v>
      </c>
      <c r="B132" s="2">
        <v>1877.52</v>
      </c>
    </row>
    <row r="133" spans="1:2" x14ac:dyDescent="0.2">
      <c r="A133" s="3">
        <v>40118</v>
      </c>
      <c r="B133" s="2">
        <v>1904.09</v>
      </c>
    </row>
    <row r="134" spans="1:2" x14ac:dyDescent="0.2">
      <c r="A134" s="3">
        <v>40148</v>
      </c>
      <c r="B134" s="2">
        <v>1885</v>
      </c>
    </row>
    <row r="135" spans="1:2" x14ac:dyDescent="0.2">
      <c r="A135" s="3">
        <v>40179</v>
      </c>
      <c r="B135" s="2">
        <v>1922.86</v>
      </c>
    </row>
    <row r="136" spans="1:2" x14ac:dyDescent="0.2">
      <c r="A136" s="3">
        <v>40210</v>
      </c>
      <c r="B136" s="2">
        <v>1930.07</v>
      </c>
    </row>
    <row r="137" spans="1:2" x14ac:dyDescent="0.2">
      <c r="A137" s="3">
        <v>40238</v>
      </c>
      <c r="B137" s="2">
        <v>1936.76</v>
      </c>
    </row>
    <row r="138" spans="1:2" x14ac:dyDescent="0.2">
      <c r="A138" s="3">
        <v>40269</v>
      </c>
      <c r="B138" s="2">
        <v>1970.81</v>
      </c>
    </row>
    <row r="139" spans="1:2" x14ac:dyDescent="0.2">
      <c r="A139" s="3">
        <v>40299</v>
      </c>
      <c r="B139" s="2">
        <v>1959.55</v>
      </c>
    </row>
    <row r="140" spans="1:2" x14ac:dyDescent="0.2">
      <c r="A140" s="3">
        <v>40330</v>
      </c>
      <c r="B140" s="2">
        <v>1999.87</v>
      </c>
    </row>
    <row r="141" spans="1:2" x14ac:dyDescent="0.2">
      <c r="A141" s="3">
        <v>40360</v>
      </c>
      <c r="B141" s="2">
        <v>2040.8</v>
      </c>
    </row>
    <row r="142" spans="1:2" x14ac:dyDescent="0.2">
      <c r="A142" s="3">
        <v>40391</v>
      </c>
      <c r="B142" s="2">
        <v>2085.4699999999998</v>
      </c>
    </row>
    <row r="143" spans="1:2" x14ac:dyDescent="0.2">
      <c r="A143" s="3">
        <v>40422</v>
      </c>
      <c r="B143" s="2">
        <v>2097.7800000000002</v>
      </c>
    </row>
    <row r="144" spans="1:2" x14ac:dyDescent="0.2">
      <c r="A144" s="3">
        <v>40452</v>
      </c>
      <c r="B144" s="2">
        <v>2102.19</v>
      </c>
    </row>
    <row r="145" spans="1:2" x14ac:dyDescent="0.2">
      <c r="A145" s="3">
        <v>40483</v>
      </c>
      <c r="B145" s="2">
        <v>2084.21</v>
      </c>
    </row>
    <row r="146" spans="1:2" x14ac:dyDescent="0.2">
      <c r="A146" s="3">
        <v>40513</v>
      </c>
      <c r="B146" s="2">
        <v>2064.4499999999998</v>
      </c>
    </row>
    <row r="147" spans="1:2" x14ac:dyDescent="0.2">
      <c r="A147" s="3">
        <v>40544</v>
      </c>
      <c r="B147" s="2">
        <v>2069.34</v>
      </c>
    </row>
    <row r="148" spans="1:2" x14ac:dyDescent="0.2">
      <c r="A148" s="3">
        <v>40575</v>
      </c>
      <c r="B148" s="2">
        <v>2084</v>
      </c>
    </row>
    <row r="149" spans="1:2" x14ac:dyDescent="0.2">
      <c r="A149" s="3">
        <v>40603</v>
      </c>
      <c r="B149" s="2">
        <v>2084.5700000000002</v>
      </c>
    </row>
    <row r="150" spans="1:2" x14ac:dyDescent="0.2">
      <c r="A150" s="3">
        <v>40634</v>
      </c>
      <c r="B150" s="2">
        <v>2119.9699999999998</v>
      </c>
    </row>
    <row r="151" spans="1:2" x14ac:dyDescent="0.2">
      <c r="A151" s="3">
        <v>40664</v>
      </c>
      <c r="B151" s="2">
        <v>2150.3200000000002</v>
      </c>
    </row>
    <row r="152" spans="1:2" x14ac:dyDescent="0.2">
      <c r="A152" s="3">
        <v>40695</v>
      </c>
      <c r="B152" s="2">
        <v>2132.41</v>
      </c>
    </row>
    <row r="153" spans="1:2" x14ac:dyDescent="0.2">
      <c r="A153" s="3">
        <v>40725</v>
      </c>
      <c r="B153" s="2">
        <v>2181.34</v>
      </c>
    </row>
    <row r="154" spans="1:2" x14ac:dyDescent="0.2">
      <c r="A154" s="3">
        <v>40756</v>
      </c>
      <c r="B154" s="2">
        <v>2183.58</v>
      </c>
    </row>
    <row r="155" spans="1:2" x14ac:dyDescent="0.2">
      <c r="A155" s="3">
        <v>40787</v>
      </c>
      <c r="B155" s="2">
        <v>2180.66</v>
      </c>
    </row>
    <row r="156" spans="1:2" x14ac:dyDescent="0.2">
      <c r="A156" s="3">
        <v>40817</v>
      </c>
      <c r="B156" s="2">
        <v>2218.92</v>
      </c>
    </row>
    <row r="157" spans="1:2" x14ac:dyDescent="0.2">
      <c r="A157" s="3">
        <v>40848</v>
      </c>
      <c r="B157" s="2">
        <v>2177.5100000000002</v>
      </c>
    </row>
    <row r="158" spans="1:2" x14ac:dyDescent="0.2">
      <c r="A158" s="3">
        <v>40878</v>
      </c>
      <c r="B158" s="2">
        <v>2219.4499999999998</v>
      </c>
    </row>
    <row r="159" spans="1:2" x14ac:dyDescent="0.2">
      <c r="A159" s="3">
        <v>40909</v>
      </c>
      <c r="B159" s="2">
        <v>2267.9</v>
      </c>
    </row>
    <row r="160" spans="1:2" x14ac:dyDescent="0.2">
      <c r="A160" s="3">
        <v>40940</v>
      </c>
      <c r="B160" s="2">
        <v>2287.15</v>
      </c>
    </row>
    <row r="161" spans="1:2" x14ac:dyDescent="0.2">
      <c r="A161" s="3">
        <v>40969</v>
      </c>
      <c r="B161" s="2">
        <v>2273.65</v>
      </c>
    </row>
    <row r="162" spans="1:2" x14ac:dyDescent="0.2">
      <c r="A162" s="3">
        <v>41000</v>
      </c>
      <c r="B162" s="2">
        <v>2302.66</v>
      </c>
    </row>
    <row r="163" spans="1:2" x14ac:dyDescent="0.2">
      <c r="A163" s="3">
        <v>41030</v>
      </c>
      <c r="B163" s="2">
        <v>2315.9899999999998</v>
      </c>
    </row>
    <row r="164" spans="1:2" x14ac:dyDescent="0.2">
      <c r="A164" s="3">
        <v>41061</v>
      </c>
      <c r="B164" s="2">
        <v>2327.5500000000002</v>
      </c>
    </row>
    <row r="165" spans="1:2" x14ac:dyDescent="0.2">
      <c r="A165" s="3">
        <v>41091</v>
      </c>
      <c r="B165" s="2">
        <v>2392.89</v>
      </c>
    </row>
    <row r="166" spans="1:2" x14ac:dyDescent="0.2">
      <c r="A166" s="3">
        <v>41122</v>
      </c>
      <c r="B166" s="2">
        <v>2402.4499999999998</v>
      </c>
    </row>
    <row r="167" spans="1:2" x14ac:dyDescent="0.2">
      <c r="A167" s="3">
        <v>41153</v>
      </c>
      <c r="B167" s="2">
        <v>2420.1999999999998</v>
      </c>
    </row>
    <row r="168" spans="1:2" x14ac:dyDescent="0.2">
      <c r="A168" s="3">
        <v>41183</v>
      </c>
      <c r="B168" s="2">
        <v>2452.0500000000002</v>
      </c>
    </row>
    <row r="169" spans="1:2" x14ac:dyDescent="0.2">
      <c r="A169" s="3">
        <v>41214</v>
      </c>
      <c r="B169" s="2">
        <v>2450.04</v>
      </c>
    </row>
    <row r="170" spans="1:2" x14ac:dyDescent="0.2">
      <c r="A170" s="3">
        <v>41244</v>
      </c>
      <c r="B170" s="2">
        <v>2449.56</v>
      </c>
    </row>
    <row r="171" spans="1:2" x14ac:dyDescent="0.2">
      <c r="A171" s="3">
        <v>41275</v>
      </c>
      <c r="B171" s="2">
        <v>2431.9899999999998</v>
      </c>
    </row>
    <row r="172" spans="1:2" x14ac:dyDescent="0.2">
      <c r="A172" s="3">
        <v>41306</v>
      </c>
      <c r="B172" s="2">
        <v>2449.1799999999998</v>
      </c>
    </row>
    <row r="173" spans="1:2" x14ac:dyDescent="0.2">
      <c r="A173" s="3">
        <v>41334</v>
      </c>
      <c r="B173" s="2">
        <v>2450.8000000000002</v>
      </c>
    </row>
    <row r="174" spans="1:2" x14ac:dyDescent="0.2">
      <c r="A174" s="3">
        <v>41365</v>
      </c>
      <c r="B174" s="2">
        <v>2492.46</v>
      </c>
    </row>
    <row r="175" spans="1:2" x14ac:dyDescent="0.2">
      <c r="A175" s="3">
        <v>41395</v>
      </c>
      <c r="B175" s="2">
        <v>2435.61</v>
      </c>
    </row>
    <row r="176" spans="1:2" x14ac:dyDescent="0.2">
      <c r="A176" s="3">
        <v>41426</v>
      </c>
      <c r="B176" s="2">
        <v>2368.39</v>
      </c>
    </row>
    <row r="177" spans="1:2" x14ac:dyDescent="0.2">
      <c r="A177" s="3">
        <v>41456</v>
      </c>
      <c r="B177" s="2">
        <v>2385.89</v>
      </c>
    </row>
    <row r="178" spans="1:2" x14ac:dyDescent="0.2">
      <c r="A178" s="3">
        <v>41487</v>
      </c>
      <c r="B178" s="2">
        <v>2367.56</v>
      </c>
    </row>
    <row r="179" spans="1:2" x14ac:dyDescent="0.2">
      <c r="A179" s="3">
        <v>41518</v>
      </c>
      <c r="B179" s="2">
        <v>2389.46</v>
      </c>
    </row>
    <row r="180" spans="1:2" x14ac:dyDescent="0.2">
      <c r="A180" s="3">
        <v>41548</v>
      </c>
      <c r="B180" s="2">
        <v>2425.2199999999998</v>
      </c>
    </row>
    <row r="181" spans="1:2" x14ac:dyDescent="0.2">
      <c r="A181" s="3">
        <v>41579</v>
      </c>
      <c r="B181" s="2">
        <v>2418.2399999999998</v>
      </c>
    </row>
    <row r="182" spans="1:2" x14ac:dyDescent="0.2">
      <c r="A182" s="3">
        <v>41609</v>
      </c>
      <c r="B182" s="2">
        <v>2413.9</v>
      </c>
    </row>
    <row r="183" spans="1:2" x14ac:dyDescent="0.2">
      <c r="A183" s="3">
        <v>41640</v>
      </c>
      <c r="B183" s="2">
        <v>2456.9699999999998</v>
      </c>
    </row>
    <row r="184" spans="1:2" x14ac:dyDescent="0.2">
      <c r="A184" s="3">
        <v>41671</v>
      </c>
      <c r="B184" s="2">
        <v>2483.9299999999998</v>
      </c>
    </row>
    <row r="185" spans="1:2" x14ac:dyDescent="0.2">
      <c r="A185" s="3">
        <v>41699</v>
      </c>
      <c r="B185" s="2">
        <v>2485.6999999999998</v>
      </c>
    </row>
    <row r="186" spans="1:2" x14ac:dyDescent="0.2">
      <c r="A186" s="3">
        <v>41730</v>
      </c>
      <c r="B186" s="2">
        <v>2514.6799999999998</v>
      </c>
    </row>
    <row r="187" spans="1:2" x14ac:dyDescent="0.2">
      <c r="A187" s="3">
        <v>41760</v>
      </c>
      <c r="B187" s="2">
        <v>2553.13</v>
      </c>
    </row>
    <row r="188" spans="1:2" x14ac:dyDescent="0.2">
      <c r="A188" s="3">
        <v>41791</v>
      </c>
      <c r="B188" s="2">
        <v>2557.41</v>
      </c>
    </row>
    <row r="189" spans="1:2" x14ac:dyDescent="0.2">
      <c r="A189" s="3">
        <v>41821</v>
      </c>
      <c r="B189" s="2">
        <v>2554.4</v>
      </c>
    </row>
    <row r="190" spans="1:2" x14ac:dyDescent="0.2">
      <c r="A190" s="3">
        <v>41852</v>
      </c>
      <c r="B190" s="2">
        <v>2590.85</v>
      </c>
    </row>
    <row r="191" spans="1:2" x14ac:dyDescent="0.2">
      <c r="A191" s="3">
        <v>41883</v>
      </c>
      <c r="B191" s="2">
        <v>2558.64</v>
      </c>
    </row>
    <row r="192" spans="1:2" x14ac:dyDescent="0.2">
      <c r="A192" s="3">
        <v>41913</v>
      </c>
      <c r="B192" s="2">
        <v>2582.52</v>
      </c>
    </row>
    <row r="193" spans="1:2" x14ac:dyDescent="0.2">
      <c r="A193" s="3">
        <v>41944</v>
      </c>
      <c r="B193" s="2">
        <v>2598.92</v>
      </c>
    </row>
    <row r="194" spans="1:2" x14ac:dyDescent="0.2">
      <c r="A194" s="3">
        <v>41974</v>
      </c>
      <c r="B194" s="2">
        <v>2595.2800000000002</v>
      </c>
    </row>
    <row r="195" spans="1:2" x14ac:dyDescent="0.2">
      <c r="A195" s="3">
        <v>42005</v>
      </c>
      <c r="B195" s="2">
        <v>2666.4</v>
      </c>
    </row>
    <row r="196" spans="1:2" x14ac:dyDescent="0.2">
      <c r="A196" s="3">
        <v>42036</v>
      </c>
      <c r="B196" s="2">
        <v>2644.11</v>
      </c>
    </row>
    <row r="197" spans="1:2" x14ac:dyDescent="0.2">
      <c r="A197" s="3">
        <v>42064</v>
      </c>
      <c r="B197" s="2">
        <v>2653.93</v>
      </c>
    </row>
    <row r="198" spans="1:2" x14ac:dyDescent="0.2">
      <c r="A198" s="3">
        <v>42095</v>
      </c>
      <c r="B198" s="2">
        <v>2639.76</v>
      </c>
    </row>
    <row r="199" spans="1:2" x14ac:dyDescent="0.2">
      <c r="A199" s="3">
        <v>42125</v>
      </c>
      <c r="B199" s="2">
        <v>2626.42</v>
      </c>
    </row>
    <row r="200" spans="1:2" x14ac:dyDescent="0.2">
      <c r="A200" s="3">
        <v>42156</v>
      </c>
      <c r="B200" s="2">
        <v>2583.36</v>
      </c>
    </row>
    <row r="201" spans="1:2" x14ac:dyDescent="0.2">
      <c r="A201" s="3">
        <v>42186</v>
      </c>
      <c r="B201" s="2">
        <v>2597.2800000000002</v>
      </c>
    </row>
    <row r="202" spans="1:2" x14ac:dyDescent="0.2">
      <c r="A202" s="3">
        <v>42217</v>
      </c>
      <c r="B202" s="2">
        <v>2579.86</v>
      </c>
    </row>
    <row r="203" spans="1:2" x14ac:dyDescent="0.2">
      <c r="A203" s="3">
        <v>42248</v>
      </c>
      <c r="B203" s="2">
        <v>2593.38</v>
      </c>
    </row>
    <row r="204" spans="1:2" x14ac:dyDescent="0.2">
      <c r="A204" s="3">
        <v>42278</v>
      </c>
      <c r="B204" s="2">
        <v>2607.2800000000002</v>
      </c>
    </row>
    <row r="205" spans="1:2" x14ac:dyDescent="0.2">
      <c r="A205" s="3">
        <v>42309</v>
      </c>
      <c r="B205" s="2">
        <v>2601.44</v>
      </c>
    </row>
    <row r="206" spans="1:2" x14ac:dyDescent="0.2">
      <c r="A206" s="3">
        <v>42339</v>
      </c>
      <c r="B206" s="2">
        <v>2578.89</v>
      </c>
    </row>
    <row r="207" spans="1:2" x14ac:dyDescent="0.2">
      <c r="A207" s="3">
        <v>42370</v>
      </c>
      <c r="B207" s="2">
        <v>2590.1999999999998</v>
      </c>
    </row>
    <row r="208" spans="1:2" x14ac:dyDescent="0.2">
      <c r="A208" s="3">
        <v>42401</v>
      </c>
      <c r="B208" s="2">
        <v>2609.23</v>
      </c>
    </row>
    <row r="209" spans="1:2" x14ac:dyDescent="0.2">
      <c r="A209" s="3">
        <v>42430</v>
      </c>
      <c r="B209" s="2">
        <v>2680.05</v>
      </c>
    </row>
    <row r="210" spans="1:2" x14ac:dyDescent="0.2">
      <c r="A210" s="3">
        <v>42461</v>
      </c>
      <c r="B210" s="2">
        <v>2716.51</v>
      </c>
    </row>
    <row r="211" spans="1:2" x14ac:dyDescent="0.2">
      <c r="A211" s="3">
        <v>42491</v>
      </c>
      <c r="B211" s="2">
        <v>2714.74</v>
      </c>
    </row>
    <row r="212" spans="1:2" x14ac:dyDescent="0.2">
      <c r="A212" s="3">
        <v>42522</v>
      </c>
      <c r="B212" s="2">
        <v>2773.91</v>
      </c>
    </row>
    <row r="213" spans="1:2" x14ac:dyDescent="0.2">
      <c r="A213" s="3">
        <v>42552</v>
      </c>
      <c r="B213" s="2">
        <v>2814.14</v>
      </c>
    </row>
    <row r="214" spans="1:2" x14ac:dyDescent="0.2">
      <c r="A214" s="3">
        <v>42583</v>
      </c>
      <c r="B214" s="2">
        <v>2821.85</v>
      </c>
    </row>
    <row r="215" spans="1:2" x14ac:dyDescent="0.2">
      <c r="A215" s="3">
        <v>42614</v>
      </c>
      <c r="B215" s="2">
        <v>2813.72</v>
      </c>
    </row>
    <row r="216" spans="1:2" x14ac:dyDescent="0.2">
      <c r="A216" s="3">
        <v>42644</v>
      </c>
      <c r="B216" s="2">
        <v>2790.43</v>
      </c>
    </row>
    <row r="217" spans="1:2" x14ac:dyDescent="0.2">
      <c r="A217" s="3">
        <v>42675</v>
      </c>
      <c r="B217" s="2">
        <v>2715.67</v>
      </c>
    </row>
    <row r="218" spans="1:2" x14ac:dyDescent="0.2">
      <c r="A218" s="3">
        <v>42705</v>
      </c>
      <c r="B218" s="2">
        <v>2732.66</v>
      </c>
    </row>
    <row r="219" spans="1:2" x14ac:dyDescent="0.2">
      <c r="A219" s="3">
        <v>42736</v>
      </c>
      <c r="B219" s="2">
        <v>2743.87</v>
      </c>
    </row>
    <row r="220" spans="1:2" x14ac:dyDescent="0.2">
      <c r="A220" s="3">
        <v>42767</v>
      </c>
      <c r="B220" s="2">
        <v>2774.91</v>
      </c>
    </row>
    <row r="221" spans="1:2" x14ac:dyDescent="0.2">
      <c r="A221" s="3">
        <v>42795</v>
      </c>
      <c r="B221" s="2">
        <v>2771.49</v>
      </c>
    </row>
    <row r="222" spans="1:2" x14ac:dyDescent="0.2">
      <c r="A222" s="3">
        <v>42826</v>
      </c>
      <c r="B222" s="2">
        <v>2799.14</v>
      </c>
    </row>
    <row r="223" spans="1:2" x14ac:dyDescent="0.2">
      <c r="A223" s="3">
        <v>42856</v>
      </c>
      <c r="B223" s="2">
        <v>2831.68</v>
      </c>
    </row>
    <row r="224" spans="1:2" x14ac:dyDescent="0.2">
      <c r="A224" s="3">
        <v>42887</v>
      </c>
      <c r="B224" s="2">
        <v>2838.63</v>
      </c>
    </row>
    <row r="225" spans="1:2" x14ac:dyDescent="0.2">
      <c r="A225" s="3">
        <v>42917</v>
      </c>
      <c r="B225" s="2">
        <v>2859.84</v>
      </c>
    </row>
    <row r="226" spans="1:2" x14ac:dyDescent="0.2">
      <c r="A226" s="3">
        <v>42948</v>
      </c>
      <c r="B226" s="2">
        <v>2884.06</v>
      </c>
    </row>
    <row r="227" spans="1:2" x14ac:dyDescent="0.2">
      <c r="A227" s="3">
        <v>42979</v>
      </c>
      <c r="B227" s="2">
        <v>2877.48</v>
      </c>
    </row>
    <row r="228" spans="1:2" x14ac:dyDescent="0.2">
      <c r="A228" s="3">
        <v>43009</v>
      </c>
      <c r="B228" s="2">
        <v>2889.09</v>
      </c>
    </row>
    <row r="229" spans="1:2" x14ac:dyDescent="0.2">
      <c r="A229" s="3">
        <v>43040</v>
      </c>
      <c r="B229" s="2">
        <v>2885.04</v>
      </c>
    </row>
    <row r="230" spans="1:2" x14ac:dyDescent="0.2">
      <c r="A230" s="3">
        <v>43070</v>
      </c>
      <c r="B230" s="2">
        <v>2909.64</v>
      </c>
    </row>
    <row r="231" spans="1:2" x14ac:dyDescent="0.2">
      <c r="A231" s="3">
        <v>43101</v>
      </c>
      <c r="B231" s="2">
        <v>2882.75</v>
      </c>
    </row>
    <row r="232" spans="1:2" x14ac:dyDescent="0.2">
      <c r="A232" s="3">
        <v>43132</v>
      </c>
      <c r="B232" s="2">
        <v>2839.61</v>
      </c>
    </row>
    <row r="233" spans="1:2" x14ac:dyDescent="0.2">
      <c r="A233" s="3">
        <v>43160</v>
      </c>
      <c r="B233" s="2">
        <v>2845.72</v>
      </c>
    </row>
    <row r="234" spans="1:2" x14ac:dyDescent="0.2">
      <c r="A234" s="3">
        <v>43191</v>
      </c>
      <c r="B234" s="2">
        <v>2821.48</v>
      </c>
    </row>
    <row r="235" spans="1:2" x14ac:dyDescent="0.2">
      <c r="A235" s="3">
        <v>43221</v>
      </c>
      <c r="B235" s="2">
        <v>2834.18</v>
      </c>
    </row>
    <row r="236" spans="1:2" x14ac:dyDescent="0.2">
      <c r="A236" s="3">
        <v>43252</v>
      </c>
      <c r="B236" s="2">
        <v>2818.89</v>
      </c>
    </row>
    <row r="237" spans="1:2" x14ac:dyDescent="0.2">
      <c r="A237" s="3">
        <v>43282</v>
      </c>
      <c r="B237" s="2">
        <v>2839.77</v>
      </c>
    </row>
    <row r="238" spans="1:2" x14ac:dyDescent="0.2">
      <c r="A238" s="3">
        <v>43313</v>
      </c>
      <c r="B238" s="2">
        <v>2855.22</v>
      </c>
    </row>
    <row r="239" spans="1:2" x14ac:dyDescent="0.2">
      <c r="A239" s="3">
        <v>43344</v>
      </c>
      <c r="B239" s="2">
        <v>2845.93</v>
      </c>
    </row>
    <row r="240" spans="1:2" x14ac:dyDescent="0.2">
      <c r="A240" s="3">
        <v>43374</v>
      </c>
      <c r="B240" s="2">
        <v>2807.48</v>
      </c>
    </row>
    <row r="241" spans="1:2" x14ac:dyDescent="0.2">
      <c r="A241" s="3">
        <v>43405</v>
      </c>
      <c r="B241" s="2">
        <v>2802.12</v>
      </c>
    </row>
    <row r="242" spans="1:2" x14ac:dyDescent="0.2">
      <c r="A242" s="3">
        <v>43435</v>
      </c>
      <c r="B242" s="2">
        <v>2844.18</v>
      </c>
    </row>
    <row r="243" spans="1:2" x14ac:dyDescent="0.2">
      <c r="A243" s="3">
        <v>43466</v>
      </c>
      <c r="B243" s="2">
        <v>2903.72</v>
      </c>
    </row>
    <row r="244" spans="1:2" x14ac:dyDescent="0.2">
      <c r="A244" s="3">
        <v>43497</v>
      </c>
      <c r="B244" s="2">
        <v>2914.16</v>
      </c>
    </row>
    <row r="245" spans="1:2" x14ac:dyDescent="0.2">
      <c r="A245" s="3">
        <v>43525</v>
      </c>
      <c r="B245" s="2">
        <v>2986.72</v>
      </c>
    </row>
    <row r="246" spans="1:2" x14ac:dyDescent="0.2">
      <c r="A246" s="3">
        <v>43556</v>
      </c>
      <c r="B246" s="2">
        <v>3003.35</v>
      </c>
    </row>
    <row r="247" spans="1:2" x14ac:dyDescent="0.2">
      <c r="A247" s="3">
        <v>43586</v>
      </c>
      <c r="B247" s="2">
        <v>3046.43</v>
      </c>
    </row>
    <row r="248" spans="1:2" x14ac:dyDescent="0.2">
      <c r="A248" s="3">
        <v>43617</v>
      </c>
      <c r="B248" s="2">
        <v>3116.5</v>
      </c>
    </row>
    <row r="249" spans="1:2" x14ac:dyDescent="0.2">
      <c r="A249" s="3">
        <v>43647</v>
      </c>
      <c r="B249" s="2">
        <v>3136.92</v>
      </c>
    </row>
    <row r="250" spans="1:2" x14ac:dyDescent="0.2">
      <c r="A250" s="3">
        <v>43678</v>
      </c>
      <c r="B250" s="2">
        <v>3232.16</v>
      </c>
    </row>
    <row r="251" spans="1:2" x14ac:dyDescent="0.2">
      <c r="A251" s="3">
        <v>43709</v>
      </c>
      <c r="B251" s="2">
        <v>3212.17</v>
      </c>
    </row>
    <row r="252" spans="1:2" x14ac:dyDescent="0.2">
      <c r="A252" s="3">
        <v>43739</v>
      </c>
      <c r="B252" s="2">
        <v>3231.82</v>
      </c>
    </row>
    <row r="253" spans="1:2" x14ac:dyDescent="0.2">
      <c r="A253" s="3">
        <v>43770</v>
      </c>
      <c r="B253" s="2">
        <v>3238.82</v>
      </c>
    </row>
    <row r="254" spans="1:2" x14ac:dyDescent="0.2">
      <c r="A254" s="3">
        <v>43800</v>
      </c>
      <c r="B254" s="2">
        <v>3249.02</v>
      </c>
    </row>
    <row r="255" spans="1:2" x14ac:dyDescent="0.2">
      <c r="A255" s="3">
        <v>43831</v>
      </c>
      <c r="B255" s="2">
        <v>3326.21</v>
      </c>
    </row>
    <row r="256" spans="1:2" x14ac:dyDescent="0.2">
      <c r="A256" s="3">
        <v>43862</v>
      </c>
      <c r="B256" s="2">
        <v>3369.13</v>
      </c>
    </row>
    <row r="257" spans="1:2" x14ac:dyDescent="0.2">
      <c r="A257" s="3">
        <v>43891</v>
      </c>
      <c r="B257" s="2">
        <v>3117.32</v>
      </c>
    </row>
    <row r="258" spans="1:2" x14ac:dyDescent="0.2">
      <c r="A258" s="3">
        <v>43922</v>
      </c>
      <c r="B258" s="2">
        <v>3281.69</v>
      </c>
    </row>
    <row r="259" spans="1:2" x14ac:dyDescent="0.2">
      <c r="A259" s="3">
        <v>43952</v>
      </c>
      <c r="B259" s="2">
        <v>3339.06</v>
      </c>
    </row>
    <row r="260" spans="1:2" x14ac:dyDescent="0.2">
      <c r="A260" s="3">
        <v>43983</v>
      </c>
      <c r="B260" s="2">
        <v>3406.35</v>
      </c>
    </row>
    <row r="261" spans="1:2" x14ac:dyDescent="0.2">
      <c r="A261" s="3">
        <v>44013</v>
      </c>
      <c r="B261" s="2">
        <v>3513.67</v>
      </c>
    </row>
    <row r="262" spans="1:2" x14ac:dyDescent="0.2">
      <c r="A262" s="3">
        <v>44044</v>
      </c>
      <c r="B262" s="2">
        <v>3473.12</v>
      </c>
    </row>
    <row r="263" spans="1:2" x14ac:dyDescent="0.2">
      <c r="A263" s="3">
        <v>44075</v>
      </c>
      <c r="B263" s="2">
        <v>3463.95</v>
      </c>
    </row>
    <row r="264" spans="1:2" x14ac:dyDescent="0.2">
      <c r="A264" s="3">
        <v>44105</v>
      </c>
      <c r="B264" s="2">
        <v>3458</v>
      </c>
    </row>
    <row r="265" spans="1:2" x14ac:dyDescent="0.2">
      <c r="A265" s="3">
        <v>44136</v>
      </c>
      <c r="B265" s="2">
        <v>3550.19</v>
      </c>
    </row>
    <row r="266" spans="1:2" x14ac:dyDescent="0.2">
      <c r="A266" s="3">
        <v>44166</v>
      </c>
      <c r="B266" s="2">
        <v>3567.63</v>
      </c>
    </row>
    <row r="267" spans="1:2" x14ac:dyDescent="0.2">
      <c r="A267" s="3">
        <v>44197</v>
      </c>
      <c r="B267" s="2">
        <v>3524.11</v>
      </c>
    </row>
    <row r="268" spans="1:2" x14ac:dyDescent="0.2">
      <c r="A268" s="3">
        <v>44228</v>
      </c>
      <c r="B268" s="2">
        <v>3455.19</v>
      </c>
    </row>
    <row r="269" spans="1:2" x14ac:dyDescent="0.2">
      <c r="A269" s="3">
        <v>44256</v>
      </c>
      <c r="B269" s="2">
        <v>3407.27</v>
      </c>
    </row>
    <row r="270" spans="1:2" x14ac:dyDescent="0.2">
      <c r="A270" s="3">
        <v>44287</v>
      </c>
      <c r="B270" s="2">
        <v>3447.81</v>
      </c>
    </row>
    <row r="271" spans="1:2" x14ac:dyDescent="0.2">
      <c r="A271" s="3">
        <v>44317</v>
      </c>
      <c r="B271" s="2">
        <v>3472.02</v>
      </c>
    </row>
    <row r="272" spans="1:2" x14ac:dyDescent="0.2">
      <c r="A272" s="3">
        <v>44348</v>
      </c>
      <c r="B272" s="2">
        <v>3529.82</v>
      </c>
    </row>
    <row r="273" spans="1:2" x14ac:dyDescent="0.2">
      <c r="A273" s="3">
        <v>44378</v>
      </c>
      <c r="B273" s="2">
        <v>3572.51</v>
      </c>
    </row>
    <row r="274" spans="1:2" x14ac:dyDescent="0.2">
      <c r="A274" s="3">
        <v>44409</v>
      </c>
      <c r="B274" s="2">
        <v>3565.44</v>
      </c>
    </row>
    <row r="275" spans="1:2" x14ac:dyDescent="0.2">
      <c r="A275" s="3">
        <v>44440</v>
      </c>
      <c r="B275" s="2">
        <v>3527.75</v>
      </c>
    </row>
    <row r="276" spans="1:2" x14ac:dyDescent="0.2">
      <c r="A276" s="3">
        <v>44470</v>
      </c>
      <c r="B276" s="2">
        <v>3536.56</v>
      </c>
    </row>
    <row r="277" spans="1:2" x14ac:dyDescent="0.2">
      <c r="A277" s="3">
        <v>44501</v>
      </c>
      <c r="B277" s="2">
        <v>3539.8</v>
      </c>
    </row>
    <row r="278" spans="1:2" x14ac:dyDescent="0.2">
      <c r="A278" s="3">
        <v>44531</v>
      </c>
      <c r="B278" s="2">
        <v>3533.73</v>
      </c>
    </row>
    <row r="279" spans="1:2" x14ac:dyDescent="0.2">
      <c r="A279" s="3">
        <v>44562</v>
      </c>
      <c r="B279" s="2">
        <v>3423.31</v>
      </c>
    </row>
    <row r="280" spans="1:2" x14ac:dyDescent="0.2">
      <c r="A280" s="3">
        <v>44593</v>
      </c>
      <c r="B280" s="2">
        <v>3348.65</v>
      </c>
    </row>
    <row r="281" spans="1:2" x14ac:dyDescent="0.2">
      <c r="A281" s="3">
        <v>44621</v>
      </c>
      <c r="B281" s="2">
        <v>3260.28</v>
      </c>
    </row>
    <row r="282" spans="1:2" x14ac:dyDescent="0.2">
      <c r="A282" s="3">
        <v>44652</v>
      </c>
      <c r="B282" s="2">
        <v>3098.19</v>
      </c>
    </row>
    <row r="283" spans="1:2" x14ac:dyDescent="0.2">
      <c r="A283" s="3">
        <v>44682</v>
      </c>
      <c r="B283" s="2">
        <v>3114.77</v>
      </c>
    </row>
    <row r="284" spans="1:2" x14ac:dyDescent="0.2">
      <c r="A284" s="3">
        <v>44713</v>
      </c>
      <c r="B284" s="2">
        <v>3041.57</v>
      </c>
    </row>
    <row r="285" spans="1:2" x14ac:dyDescent="0.2">
      <c r="A285" s="3">
        <v>44743</v>
      </c>
      <c r="B285" s="2">
        <v>3131.26</v>
      </c>
    </row>
    <row r="286" spans="1:2" x14ac:dyDescent="0.2">
      <c r="A286" s="3">
        <v>44774</v>
      </c>
      <c r="B286" s="2">
        <v>3047.93</v>
      </c>
    </row>
    <row r="287" spans="1:2" x14ac:dyDescent="0.2">
      <c r="A287" s="3">
        <v>44805</v>
      </c>
      <c r="B287" s="2">
        <v>2886.14</v>
      </c>
    </row>
    <row r="288" spans="1:2" x14ac:dyDescent="0.2">
      <c r="A288" s="3">
        <v>44835</v>
      </c>
      <c r="B288" s="2">
        <v>2853.97</v>
      </c>
    </row>
    <row r="289" spans="1:2" x14ac:dyDescent="0.2">
      <c r="A289" s="3">
        <v>44866</v>
      </c>
      <c r="B289" s="2">
        <v>2994.31</v>
      </c>
    </row>
    <row r="290" spans="1:2" x14ac:dyDescent="0.2">
      <c r="A290" s="3">
        <v>44896</v>
      </c>
      <c r="B290" s="2">
        <v>2987.97</v>
      </c>
    </row>
    <row r="291" spans="1:2" x14ac:dyDescent="0.2">
      <c r="A291" s="3">
        <v>44927</v>
      </c>
      <c r="B291" s="2">
        <v>3104.17</v>
      </c>
    </row>
    <row r="292" spans="1:2" x14ac:dyDescent="0.2">
      <c r="A292" s="3">
        <v>44958</v>
      </c>
      <c r="B292" s="2">
        <v>3013.75</v>
      </c>
    </row>
    <row r="293" spans="1:2" x14ac:dyDescent="0.2">
      <c r="A293" s="3">
        <v>44986</v>
      </c>
      <c r="B293" s="2">
        <v>3090.99</v>
      </c>
    </row>
    <row r="294" spans="1:2" x14ac:dyDescent="0.2">
      <c r="A294" s="3">
        <v>45017</v>
      </c>
      <c r="B294" s="2">
        <v>3117.2</v>
      </c>
    </row>
    <row r="295" spans="1:2" x14ac:dyDescent="0.2">
      <c r="A295" s="3">
        <v>45047</v>
      </c>
      <c r="B295" s="2">
        <v>3075.79</v>
      </c>
    </row>
    <row r="296" spans="1:2" x14ac:dyDescent="0.2">
      <c r="A296" s="3">
        <v>45078</v>
      </c>
      <c r="B296" s="2">
        <v>3084.54</v>
      </c>
    </row>
    <row r="297" spans="1:2" x14ac:dyDescent="0.2">
      <c r="A297" s="3">
        <v>45108</v>
      </c>
      <c r="B297" s="2">
        <v>3097.91</v>
      </c>
    </row>
    <row r="298" spans="1:2" x14ac:dyDescent="0.2">
      <c r="A298" s="3">
        <v>45139</v>
      </c>
      <c r="B298" s="2">
        <v>3076.76</v>
      </c>
    </row>
    <row r="299" spans="1:2" x14ac:dyDescent="0.2">
      <c r="A299" s="3">
        <v>45170</v>
      </c>
      <c r="B299" s="2">
        <v>3001.39</v>
      </c>
    </row>
    <row r="300" spans="1:2" x14ac:dyDescent="0.2">
      <c r="A300" s="3">
        <v>45200</v>
      </c>
      <c r="B300" s="2">
        <v>2946.76</v>
      </c>
    </row>
    <row r="301" spans="1:2" x14ac:dyDescent="0.2">
      <c r="A301" s="3">
        <v>45231</v>
      </c>
      <c r="B301" s="2">
        <v>3112.98</v>
      </c>
    </row>
    <row r="302" spans="1:2" x14ac:dyDescent="0.2">
      <c r="A302" s="3">
        <v>45261</v>
      </c>
      <c r="B302" s="2">
        <v>3238.89</v>
      </c>
    </row>
    <row r="303" spans="1:2" x14ac:dyDescent="0.2">
      <c r="A303" s="3">
        <v>45292</v>
      </c>
      <c r="B303" s="2">
        <v>3243.69</v>
      </c>
    </row>
    <row r="304" spans="1:2" x14ac:dyDescent="0.2">
      <c r="A304" s="3">
        <v>45323</v>
      </c>
      <c r="B304" s="2">
        <v>3198.37</v>
      </c>
    </row>
    <row r="305" spans="1:2" x14ac:dyDescent="0.2">
      <c r="A305" s="3">
        <v>45352</v>
      </c>
      <c r="B305" s="2">
        <v>3236.29</v>
      </c>
    </row>
    <row r="306" spans="1:2" x14ac:dyDescent="0.2">
      <c r="A306" s="3">
        <v>45383</v>
      </c>
      <c r="B306" s="2">
        <v>3160.95</v>
      </c>
    </row>
    <row r="307" spans="1:2" x14ac:dyDescent="0.2">
      <c r="A307" s="3">
        <v>45413</v>
      </c>
      <c r="B307" s="2">
        <v>3219.53</v>
      </c>
    </row>
    <row r="308" spans="1:2" x14ac:dyDescent="0.2">
      <c r="A308" s="3">
        <v>45444</v>
      </c>
      <c r="B308" s="2">
        <v>3240.08</v>
      </c>
    </row>
    <row r="309" spans="1:2" x14ac:dyDescent="0.2">
      <c r="A309" s="3">
        <v>45474</v>
      </c>
      <c r="B309" s="2">
        <v>3316.66</v>
      </c>
    </row>
    <row r="310" spans="1:2" x14ac:dyDescent="0.2">
      <c r="A310" s="3">
        <v>45505</v>
      </c>
      <c r="B310" s="2">
        <v>3367.48</v>
      </c>
    </row>
    <row r="311" spans="1:2" x14ac:dyDescent="0.2">
      <c r="A311" s="3">
        <v>45536</v>
      </c>
      <c r="B311" s="2">
        <v>3425.5</v>
      </c>
    </row>
    <row r="312" spans="1:2" x14ac:dyDescent="0.2">
      <c r="A312" s="3">
        <v>45566</v>
      </c>
      <c r="B312" s="2">
        <v>3348.44</v>
      </c>
    </row>
    <row r="313" spans="1:2" x14ac:dyDescent="0.2">
      <c r="A313" s="3">
        <v>45597</v>
      </c>
      <c r="B313" s="2">
        <v>3388.48</v>
      </c>
    </row>
    <row r="314" spans="1:2" x14ac:dyDescent="0.2">
      <c r="A314" s="3">
        <v>45627</v>
      </c>
      <c r="B314" s="2">
        <v>3328.3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3A2A-044E-4E4D-B740-93623669ACA8}">
  <dimension ref="A1:B316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6.5" bestFit="1" customWidth="1"/>
    <col min="2" max="2" width="5.33203125" style="6" bestFit="1" customWidth="1"/>
  </cols>
  <sheetData>
    <row r="1" spans="1:2" x14ac:dyDescent="0.2">
      <c r="A1" s="4" t="s">
        <v>5</v>
      </c>
      <c r="B1" s="4" t="s">
        <v>15</v>
      </c>
    </row>
    <row r="2" spans="1:2" x14ac:dyDescent="0.2">
      <c r="A2" s="3">
        <v>36161</v>
      </c>
      <c r="B2" s="6">
        <v>4.72</v>
      </c>
    </row>
    <row r="3" spans="1:2" x14ac:dyDescent="0.2">
      <c r="A3" s="3">
        <v>36192</v>
      </c>
      <c r="B3" s="6">
        <v>5</v>
      </c>
    </row>
    <row r="4" spans="1:2" x14ac:dyDescent="0.2">
      <c r="A4" s="3">
        <v>36220</v>
      </c>
      <c r="B4" s="6">
        <v>5.23</v>
      </c>
    </row>
    <row r="5" spans="1:2" x14ac:dyDescent="0.2">
      <c r="A5" s="3">
        <v>36251</v>
      </c>
      <c r="B5" s="6">
        <v>5.18</v>
      </c>
    </row>
    <row r="6" spans="1:2" x14ac:dyDescent="0.2">
      <c r="A6" s="3">
        <v>36281</v>
      </c>
      <c r="B6" s="6">
        <v>5.54</v>
      </c>
    </row>
    <row r="7" spans="1:2" x14ac:dyDescent="0.2">
      <c r="A7" s="3">
        <v>36312</v>
      </c>
      <c r="B7" s="6">
        <v>5.9</v>
      </c>
    </row>
    <row r="8" spans="1:2" x14ac:dyDescent="0.2">
      <c r="A8" s="3">
        <v>36342</v>
      </c>
      <c r="B8" s="6">
        <v>5.79</v>
      </c>
    </row>
    <row r="9" spans="1:2" x14ac:dyDescent="0.2">
      <c r="A9" s="3">
        <v>36373</v>
      </c>
      <c r="B9" s="6">
        <v>5.94</v>
      </c>
    </row>
    <row r="10" spans="1:2" x14ac:dyDescent="0.2">
      <c r="A10" s="3">
        <v>36404</v>
      </c>
      <c r="B10" s="6">
        <v>5.92</v>
      </c>
    </row>
    <row r="11" spans="1:2" x14ac:dyDescent="0.2">
      <c r="A11" s="3">
        <v>36434</v>
      </c>
      <c r="B11" s="6">
        <v>6.11</v>
      </c>
    </row>
    <row r="12" spans="1:2" x14ac:dyDescent="0.2">
      <c r="A12" s="3">
        <v>36465</v>
      </c>
      <c r="B12" s="6">
        <v>6.03</v>
      </c>
    </row>
    <row r="13" spans="1:2" x14ac:dyDescent="0.2">
      <c r="A13" s="3">
        <v>36495</v>
      </c>
      <c r="B13" s="6">
        <v>6.28</v>
      </c>
    </row>
    <row r="14" spans="1:2" x14ac:dyDescent="0.2">
      <c r="A14" s="3">
        <v>36526</v>
      </c>
      <c r="B14" s="6">
        <v>6.66</v>
      </c>
    </row>
    <row r="15" spans="1:2" x14ac:dyDescent="0.2">
      <c r="A15" s="3">
        <v>36557</v>
      </c>
      <c r="B15" s="6">
        <v>6.52</v>
      </c>
    </row>
    <row r="16" spans="1:2" x14ac:dyDescent="0.2">
      <c r="A16" s="3">
        <v>36586</v>
      </c>
      <c r="B16" s="6">
        <v>6.26</v>
      </c>
    </row>
    <row r="17" spans="1:2" x14ac:dyDescent="0.2">
      <c r="A17" s="3">
        <v>36617</v>
      </c>
      <c r="B17" s="6">
        <v>5.99</v>
      </c>
    </row>
    <row r="18" spans="1:2" x14ac:dyDescent="0.2">
      <c r="A18" s="3">
        <v>36647</v>
      </c>
      <c r="B18" s="6">
        <v>6.44</v>
      </c>
    </row>
    <row r="19" spans="1:2" x14ac:dyDescent="0.2">
      <c r="A19" s="3">
        <v>36678</v>
      </c>
      <c r="B19" s="6">
        <v>6.1</v>
      </c>
    </row>
    <row r="20" spans="1:2" x14ac:dyDescent="0.2">
      <c r="A20" s="3">
        <v>36708</v>
      </c>
      <c r="B20" s="6">
        <v>6.05</v>
      </c>
    </row>
    <row r="21" spans="1:2" x14ac:dyDescent="0.2">
      <c r="A21" s="3">
        <v>36739</v>
      </c>
      <c r="B21" s="6">
        <v>5.83</v>
      </c>
    </row>
    <row r="22" spans="1:2" x14ac:dyDescent="0.2">
      <c r="A22" s="3">
        <v>36770</v>
      </c>
      <c r="B22" s="6">
        <v>5.8</v>
      </c>
    </row>
    <row r="23" spans="1:2" x14ac:dyDescent="0.2">
      <c r="A23" s="3">
        <v>36800</v>
      </c>
      <c r="B23" s="6">
        <v>5.74</v>
      </c>
    </row>
    <row r="24" spans="1:2" x14ac:dyDescent="0.2">
      <c r="A24" s="3">
        <v>36831</v>
      </c>
      <c r="B24" s="6">
        <v>5.72</v>
      </c>
    </row>
    <row r="25" spans="1:2" x14ac:dyDescent="0.2">
      <c r="A25" s="3">
        <v>36861</v>
      </c>
      <c r="B25" s="6">
        <v>5.24</v>
      </c>
    </row>
    <row r="26" spans="1:2" x14ac:dyDescent="0.2">
      <c r="A26" s="3">
        <v>36892</v>
      </c>
      <c r="B26" s="6">
        <v>5.16</v>
      </c>
    </row>
    <row r="27" spans="1:2" x14ac:dyDescent="0.2">
      <c r="A27" s="3">
        <v>36923</v>
      </c>
      <c r="B27" s="6">
        <v>5.0999999999999996</v>
      </c>
    </row>
    <row r="28" spans="1:2" x14ac:dyDescent="0.2">
      <c r="A28" s="3">
        <v>36951</v>
      </c>
      <c r="B28" s="6">
        <v>4.8899999999999997</v>
      </c>
    </row>
    <row r="29" spans="1:2" x14ac:dyDescent="0.2">
      <c r="A29" s="3">
        <v>36982</v>
      </c>
      <c r="B29" s="6">
        <v>5.14</v>
      </c>
    </row>
    <row r="30" spans="1:2" x14ac:dyDescent="0.2">
      <c r="A30" s="3">
        <v>37012</v>
      </c>
      <c r="B30" s="6">
        <v>5.39</v>
      </c>
    </row>
    <row r="31" spans="1:2" x14ac:dyDescent="0.2">
      <c r="A31" s="3">
        <v>37043</v>
      </c>
      <c r="B31" s="6">
        <v>5.28</v>
      </c>
    </row>
    <row r="32" spans="1:2" x14ac:dyDescent="0.2">
      <c r="A32" s="3">
        <v>37073</v>
      </c>
      <c r="B32" s="6">
        <v>5.24</v>
      </c>
    </row>
    <row r="33" spans="1:2" x14ac:dyDescent="0.2">
      <c r="A33" s="3">
        <v>37104</v>
      </c>
      <c r="B33" s="6">
        <v>4.97</v>
      </c>
    </row>
    <row r="34" spans="1:2" x14ac:dyDescent="0.2">
      <c r="A34" s="3">
        <v>37135</v>
      </c>
      <c r="B34" s="6">
        <v>4.7300000000000004</v>
      </c>
    </row>
    <row r="35" spans="1:2" x14ac:dyDescent="0.2">
      <c r="A35" s="3">
        <v>37165</v>
      </c>
      <c r="B35" s="6">
        <v>4.57</v>
      </c>
    </row>
    <row r="36" spans="1:2" x14ac:dyDescent="0.2">
      <c r="A36" s="3">
        <v>37196</v>
      </c>
      <c r="B36" s="6">
        <v>4.6500000000000004</v>
      </c>
    </row>
    <row r="37" spans="1:2" x14ac:dyDescent="0.2">
      <c r="A37" s="3">
        <v>37226</v>
      </c>
      <c r="B37" s="6">
        <v>5.09</v>
      </c>
    </row>
    <row r="38" spans="1:2" x14ac:dyDescent="0.2">
      <c r="A38" s="3">
        <v>37257</v>
      </c>
      <c r="B38" s="6">
        <v>5.04</v>
      </c>
    </row>
    <row r="39" spans="1:2" x14ac:dyDescent="0.2">
      <c r="A39" s="3">
        <v>37288</v>
      </c>
      <c r="B39" s="6">
        <v>4.91</v>
      </c>
    </row>
    <row r="40" spans="1:2" x14ac:dyDescent="0.2">
      <c r="A40" s="3">
        <v>37316</v>
      </c>
      <c r="B40" s="6">
        <v>5.28</v>
      </c>
    </row>
    <row r="41" spans="1:2" x14ac:dyDescent="0.2">
      <c r="A41" s="3">
        <v>37347</v>
      </c>
      <c r="B41" s="6">
        <v>5.21</v>
      </c>
    </row>
    <row r="42" spans="1:2" x14ac:dyDescent="0.2">
      <c r="A42" s="3">
        <v>37377</v>
      </c>
      <c r="B42" s="6">
        <v>5.16</v>
      </c>
    </row>
    <row r="43" spans="1:2" x14ac:dyDescent="0.2">
      <c r="A43" s="3">
        <v>37408</v>
      </c>
      <c r="B43" s="6">
        <v>4.93</v>
      </c>
    </row>
    <row r="44" spans="1:2" x14ac:dyDescent="0.2">
      <c r="A44" s="3">
        <v>37438</v>
      </c>
      <c r="B44" s="6">
        <v>4.6500000000000004</v>
      </c>
    </row>
    <row r="45" spans="1:2" x14ac:dyDescent="0.2">
      <c r="A45" s="3">
        <v>37469</v>
      </c>
      <c r="B45" s="6">
        <v>4.26</v>
      </c>
    </row>
    <row r="46" spans="1:2" x14ac:dyDescent="0.2">
      <c r="A46" s="3">
        <v>37500</v>
      </c>
      <c r="B46" s="6">
        <v>3.87</v>
      </c>
    </row>
    <row r="47" spans="1:2" x14ac:dyDescent="0.2">
      <c r="A47" s="3">
        <v>37530</v>
      </c>
      <c r="B47" s="6">
        <v>3.94</v>
      </c>
    </row>
    <row r="48" spans="1:2" x14ac:dyDescent="0.2">
      <c r="A48" s="3">
        <v>37561</v>
      </c>
      <c r="B48" s="6">
        <v>4.05</v>
      </c>
    </row>
    <row r="49" spans="1:2" x14ac:dyDescent="0.2">
      <c r="A49" s="3">
        <v>37591</v>
      </c>
      <c r="B49" s="6">
        <v>4.03</v>
      </c>
    </row>
    <row r="50" spans="1:2" x14ac:dyDescent="0.2">
      <c r="A50" s="3">
        <v>37622</v>
      </c>
      <c r="B50" s="6">
        <v>4.05</v>
      </c>
    </row>
    <row r="51" spans="1:2" x14ac:dyDescent="0.2">
      <c r="A51" s="3">
        <v>37653</v>
      </c>
      <c r="B51" s="6">
        <v>3.9</v>
      </c>
    </row>
    <row r="52" spans="1:2" x14ac:dyDescent="0.2">
      <c r="A52" s="3">
        <v>37681</v>
      </c>
      <c r="B52" s="6">
        <v>3.81</v>
      </c>
    </row>
    <row r="53" spans="1:2" x14ac:dyDescent="0.2">
      <c r="A53" s="3">
        <v>37712</v>
      </c>
      <c r="B53" s="6">
        <v>3.96</v>
      </c>
    </row>
    <row r="54" spans="1:2" x14ac:dyDescent="0.2">
      <c r="A54" s="3">
        <v>37742</v>
      </c>
      <c r="B54" s="6">
        <v>3.57</v>
      </c>
    </row>
    <row r="55" spans="1:2" x14ac:dyDescent="0.2">
      <c r="A55" s="3">
        <v>37773</v>
      </c>
      <c r="B55" s="6">
        <v>3.33</v>
      </c>
    </row>
    <row r="56" spans="1:2" x14ac:dyDescent="0.2">
      <c r="A56" s="3">
        <v>37803</v>
      </c>
      <c r="B56" s="6">
        <v>3.98</v>
      </c>
    </row>
    <row r="57" spans="1:2" x14ac:dyDescent="0.2">
      <c r="A57" s="3">
        <v>37834</v>
      </c>
      <c r="B57" s="6">
        <v>4.45</v>
      </c>
    </row>
    <row r="58" spans="1:2" x14ac:dyDescent="0.2">
      <c r="A58" s="3">
        <v>37865</v>
      </c>
      <c r="B58" s="6">
        <v>4.2699999999999996</v>
      </c>
    </row>
    <row r="59" spans="1:2" x14ac:dyDescent="0.2">
      <c r="A59" s="3">
        <v>37895</v>
      </c>
      <c r="B59" s="6">
        <v>4.29</v>
      </c>
    </row>
    <row r="60" spans="1:2" x14ac:dyDescent="0.2">
      <c r="A60" s="3">
        <v>37926</v>
      </c>
      <c r="B60" s="6">
        <v>4.3</v>
      </c>
    </row>
    <row r="61" spans="1:2" x14ac:dyDescent="0.2">
      <c r="A61" s="3">
        <v>37956</v>
      </c>
      <c r="B61" s="6">
        <v>4.2699999999999996</v>
      </c>
    </row>
    <row r="62" spans="1:2" x14ac:dyDescent="0.2">
      <c r="A62" s="3">
        <v>37987</v>
      </c>
      <c r="B62" s="6">
        <v>4.1500000000000004</v>
      </c>
    </row>
    <row r="63" spans="1:2" x14ac:dyDescent="0.2">
      <c r="A63" s="3">
        <v>38018</v>
      </c>
      <c r="B63" s="6">
        <v>4.08</v>
      </c>
    </row>
    <row r="64" spans="1:2" x14ac:dyDescent="0.2">
      <c r="A64" s="3">
        <v>38047</v>
      </c>
      <c r="B64" s="6">
        <v>3.83</v>
      </c>
    </row>
    <row r="65" spans="1:2" x14ac:dyDescent="0.2">
      <c r="A65" s="3">
        <v>38078</v>
      </c>
      <c r="B65" s="6">
        <v>4.3499999999999996</v>
      </c>
    </row>
    <row r="66" spans="1:2" x14ac:dyDescent="0.2">
      <c r="A66" s="3">
        <v>38108</v>
      </c>
      <c r="B66" s="6">
        <v>4.72</v>
      </c>
    </row>
    <row r="67" spans="1:2" x14ac:dyDescent="0.2">
      <c r="A67" s="3">
        <v>38139</v>
      </c>
      <c r="B67" s="6">
        <v>4.7300000000000004</v>
      </c>
    </row>
    <row r="68" spans="1:2" x14ac:dyDescent="0.2">
      <c r="A68" s="3">
        <v>38169</v>
      </c>
      <c r="B68" s="6">
        <v>4.5</v>
      </c>
    </row>
    <row r="69" spans="1:2" x14ac:dyDescent="0.2">
      <c r="A69" s="3">
        <v>38200</v>
      </c>
      <c r="B69" s="6">
        <v>4.28</v>
      </c>
    </row>
    <row r="70" spans="1:2" x14ac:dyDescent="0.2">
      <c r="A70" s="3">
        <v>38231</v>
      </c>
      <c r="B70" s="6">
        <v>4.13</v>
      </c>
    </row>
    <row r="71" spans="1:2" x14ac:dyDescent="0.2">
      <c r="A71" s="3">
        <v>38261</v>
      </c>
      <c r="B71" s="6">
        <v>4.0999999999999996</v>
      </c>
    </row>
    <row r="72" spans="1:2" x14ac:dyDescent="0.2">
      <c r="A72" s="3">
        <v>38292</v>
      </c>
      <c r="B72" s="6">
        <v>4.1900000000000004</v>
      </c>
    </row>
    <row r="73" spans="1:2" x14ac:dyDescent="0.2">
      <c r="A73" s="3">
        <v>38322</v>
      </c>
      <c r="B73" s="6">
        <v>4.2300000000000004</v>
      </c>
    </row>
    <row r="74" spans="1:2" x14ac:dyDescent="0.2">
      <c r="A74" s="3">
        <v>38353</v>
      </c>
      <c r="B74" s="6">
        <v>4.22</v>
      </c>
    </row>
    <row r="75" spans="1:2" x14ac:dyDescent="0.2">
      <c r="A75" s="3">
        <v>38384</v>
      </c>
      <c r="B75" s="6">
        <v>4.17</v>
      </c>
    </row>
    <row r="76" spans="1:2" x14ac:dyDescent="0.2">
      <c r="A76" s="3">
        <v>38412</v>
      </c>
      <c r="B76" s="6">
        <v>4.5</v>
      </c>
    </row>
    <row r="77" spans="1:2" x14ac:dyDescent="0.2">
      <c r="A77" s="3">
        <v>38443</v>
      </c>
      <c r="B77" s="6">
        <v>4.34</v>
      </c>
    </row>
    <row r="78" spans="1:2" x14ac:dyDescent="0.2">
      <c r="A78" s="3">
        <v>38473</v>
      </c>
      <c r="B78" s="6">
        <v>4.1399999999999997</v>
      </c>
    </row>
    <row r="79" spans="1:2" x14ac:dyDescent="0.2">
      <c r="A79" s="3">
        <v>38504</v>
      </c>
      <c r="B79" s="6">
        <v>4</v>
      </c>
    </row>
    <row r="80" spans="1:2" x14ac:dyDescent="0.2">
      <c r="A80" s="3">
        <v>38534</v>
      </c>
      <c r="B80" s="6">
        <v>4.18</v>
      </c>
    </row>
    <row r="81" spans="1:2" x14ac:dyDescent="0.2">
      <c r="A81" s="3">
        <v>38565</v>
      </c>
      <c r="B81" s="6">
        <v>4.26</v>
      </c>
    </row>
    <row r="82" spans="1:2" x14ac:dyDescent="0.2">
      <c r="A82" s="3">
        <v>38596</v>
      </c>
      <c r="B82" s="6">
        <v>4.2</v>
      </c>
    </row>
    <row r="83" spans="1:2" x14ac:dyDescent="0.2">
      <c r="A83" s="3">
        <v>38626</v>
      </c>
      <c r="B83" s="6">
        <v>4.46</v>
      </c>
    </row>
    <row r="84" spans="1:2" x14ac:dyDescent="0.2">
      <c r="A84" s="3">
        <v>38657</v>
      </c>
      <c r="B84" s="6">
        <v>4.54</v>
      </c>
    </row>
    <row r="85" spans="1:2" x14ac:dyDescent="0.2">
      <c r="A85" s="3">
        <v>38687</v>
      </c>
      <c r="B85" s="6">
        <v>4.47</v>
      </c>
    </row>
    <row r="86" spans="1:2" x14ac:dyDescent="0.2">
      <c r="A86" s="3">
        <v>38718</v>
      </c>
      <c r="B86" s="6">
        <v>4.42</v>
      </c>
    </row>
    <row r="87" spans="1:2" x14ac:dyDescent="0.2">
      <c r="A87" s="3">
        <v>38749</v>
      </c>
      <c r="B87" s="6">
        <v>4.57</v>
      </c>
    </row>
    <row r="88" spans="1:2" x14ac:dyDescent="0.2">
      <c r="A88" s="3">
        <v>38777</v>
      </c>
      <c r="B88" s="6">
        <v>4.72</v>
      </c>
    </row>
    <row r="89" spans="1:2" x14ac:dyDescent="0.2">
      <c r="A89" s="3">
        <v>38808</v>
      </c>
      <c r="B89" s="6">
        <v>4.99</v>
      </c>
    </row>
    <row r="90" spans="1:2" x14ac:dyDescent="0.2">
      <c r="A90" s="3">
        <v>38838</v>
      </c>
      <c r="B90" s="6">
        <v>5.1100000000000003</v>
      </c>
    </row>
    <row r="91" spans="1:2" x14ac:dyDescent="0.2">
      <c r="A91" s="3">
        <v>38869</v>
      </c>
      <c r="B91" s="6">
        <v>5.1100000000000003</v>
      </c>
    </row>
    <row r="92" spans="1:2" x14ac:dyDescent="0.2">
      <c r="A92" s="3">
        <v>38899</v>
      </c>
      <c r="B92" s="6">
        <v>5.09</v>
      </c>
    </row>
    <row r="93" spans="1:2" x14ac:dyDescent="0.2">
      <c r="A93" s="3">
        <v>38930</v>
      </c>
      <c r="B93" s="6">
        <v>4.88</v>
      </c>
    </row>
    <row r="94" spans="1:2" x14ac:dyDescent="0.2">
      <c r="A94" s="3">
        <v>38961</v>
      </c>
      <c r="B94" s="6">
        <v>4.72</v>
      </c>
    </row>
    <row r="95" spans="1:2" x14ac:dyDescent="0.2">
      <c r="A95" s="3">
        <v>38991</v>
      </c>
      <c r="B95" s="6">
        <v>4.7300000000000004</v>
      </c>
    </row>
    <row r="96" spans="1:2" x14ac:dyDescent="0.2">
      <c r="A96" s="3">
        <v>39022</v>
      </c>
      <c r="B96" s="6">
        <v>4.5999999999999996</v>
      </c>
    </row>
    <row r="97" spans="1:2" x14ac:dyDescent="0.2">
      <c r="A97" s="3">
        <v>39052</v>
      </c>
      <c r="B97" s="6">
        <v>4.5599999999999996</v>
      </c>
    </row>
    <row r="98" spans="1:2" x14ac:dyDescent="0.2">
      <c r="A98" s="3">
        <v>39083</v>
      </c>
      <c r="B98" s="6">
        <v>4.76</v>
      </c>
    </row>
    <row r="99" spans="1:2" x14ac:dyDescent="0.2">
      <c r="A99" s="3">
        <v>39114</v>
      </c>
      <c r="B99" s="6">
        <v>4.72</v>
      </c>
    </row>
    <row r="100" spans="1:2" x14ac:dyDescent="0.2">
      <c r="A100" s="3">
        <v>39142</v>
      </c>
      <c r="B100" s="6">
        <v>4.5599999999999996</v>
      </c>
    </row>
    <row r="101" spans="1:2" x14ac:dyDescent="0.2">
      <c r="A101" s="3">
        <v>39173</v>
      </c>
      <c r="B101" s="6">
        <v>4.6900000000000004</v>
      </c>
    </row>
    <row r="102" spans="1:2" x14ac:dyDescent="0.2">
      <c r="A102" s="3">
        <v>39203</v>
      </c>
      <c r="B102" s="6">
        <v>4.75</v>
      </c>
    </row>
    <row r="103" spans="1:2" x14ac:dyDescent="0.2">
      <c r="A103" s="3">
        <v>39234</v>
      </c>
      <c r="B103" s="6">
        <v>5.0999999999999996</v>
      </c>
    </row>
    <row r="104" spans="1:2" x14ac:dyDescent="0.2">
      <c r="A104" s="3">
        <v>39264</v>
      </c>
      <c r="B104" s="6">
        <v>5</v>
      </c>
    </row>
    <row r="105" spans="1:2" x14ac:dyDescent="0.2">
      <c r="A105" s="3">
        <v>39295</v>
      </c>
      <c r="B105" s="6">
        <v>4.67</v>
      </c>
    </row>
    <row r="106" spans="1:2" x14ac:dyDescent="0.2">
      <c r="A106" s="3">
        <v>39326</v>
      </c>
      <c r="B106" s="6">
        <v>4.5199999999999996</v>
      </c>
    </row>
    <row r="107" spans="1:2" x14ac:dyDescent="0.2">
      <c r="A107" s="3">
        <v>39356</v>
      </c>
      <c r="B107" s="6">
        <v>4.53</v>
      </c>
    </row>
    <row r="108" spans="1:2" x14ac:dyDescent="0.2">
      <c r="A108" s="3">
        <v>39387</v>
      </c>
      <c r="B108" s="6">
        <v>4.1500000000000004</v>
      </c>
    </row>
    <row r="109" spans="1:2" x14ac:dyDescent="0.2">
      <c r="A109" s="3">
        <v>39417</v>
      </c>
      <c r="B109" s="6">
        <v>4.0999999999999996</v>
      </c>
    </row>
    <row r="110" spans="1:2" x14ac:dyDescent="0.2">
      <c r="A110" s="3">
        <v>39448</v>
      </c>
      <c r="B110" s="6">
        <v>3.74</v>
      </c>
    </row>
    <row r="111" spans="1:2" x14ac:dyDescent="0.2">
      <c r="A111" s="3">
        <v>39479</v>
      </c>
      <c r="B111" s="6">
        <v>3.74</v>
      </c>
    </row>
    <row r="112" spans="1:2" x14ac:dyDescent="0.2">
      <c r="A112" s="3">
        <v>39508</v>
      </c>
      <c r="B112" s="6">
        <v>3.51</v>
      </c>
    </row>
    <row r="113" spans="1:2" x14ac:dyDescent="0.2">
      <c r="A113" s="3">
        <v>39539</v>
      </c>
      <c r="B113" s="6">
        <v>3.68</v>
      </c>
    </row>
    <row r="114" spans="1:2" x14ac:dyDescent="0.2">
      <c r="A114" s="3">
        <v>39569</v>
      </c>
      <c r="B114" s="6">
        <v>3.88</v>
      </c>
    </row>
    <row r="115" spans="1:2" x14ac:dyDescent="0.2">
      <c r="A115" s="3">
        <v>39600</v>
      </c>
      <c r="B115" s="6">
        <v>4.0999999999999996</v>
      </c>
    </row>
    <row r="116" spans="1:2" x14ac:dyDescent="0.2">
      <c r="A116" s="3">
        <v>39630</v>
      </c>
      <c r="B116" s="6">
        <v>4.01</v>
      </c>
    </row>
    <row r="117" spans="1:2" x14ac:dyDescent="0.2">
      <c r="A117" s="3">
        <v>39661</v>
      </c>
      <c r="B117" s="6">
        <v>3.89</v>
      </c>
    </row>
    <row r="118" spans="1:2" x14ac:dyDescent="0.2">
      <c r="A118" s="3">
        <v>39692</v>
      </c>
      <c r="B118" s="6">
        <v>3.69</v>
      </c>
    </row>
    <row r="119" spans="1:2" x14ac:dyDescent="0.2">
      <c r="A119" s="3">
        <v>39722</v>
      </c>
      <c r="B119" s="6">
        <v>3.81</v>
      </c>
    </row>
    <row r="120" spans="1:2" x14ac:dyDescent="0.2">
      <c r="A120" s="3">
        <v>39753</v>
      </c>
      <c r="B120" s="6">
        <v>3.53</v>
      </c>
    </row>
    <row r="121" spans="1:2" x14ac:dyDescent="0.2">
      <c r="A121" s="3">
        <v>39783</v>
      </c>
      <c r="B121" s="6">
        <v>2.42</v>
      </c>
    </row>
    <row r="122" spans="1:2" x14ac:dyDescent="0.2">
      <c r="A122" s="3">
        <v>39814</v>
      </c>
      <c r="B122" s="6">
        <v>2.52</v>
      </c>
    </row>
    <row r="123" spans="1:2" x14ac:dyDescent="0.2">
      <c r="A123" s="3">
        <v>39845</v>
      </c>
      <c r="B123" s="6">
        <v>2.87</v>
      </c>
    </row>
    <row r="124" spans="1:2" x14ac:dyDescent="0.2">
      <c r="A124" s="3">
        <v>39873</v>
      </c>
      <c r="B124" s="6">
        <v>2.82</v>
      </c>
    </row>
    <row r="125" spans="1:2" x14ac:dyDescent="0.2">
      <c r="A125" s="3">
        <v>39904</v>
      </c>
      <c r="B125" s="6">
        <v>2.93</v>
      </c>
    </row>
    <row r="126" spans="1:2" x14ac:dyDescent="0.2">
      <c r="A126" s="3">
        <v>39934</v>
      </c>
      <c r="B126" s="6">
        <v>3.29</v>
      </c>
    </row>
    <row r="127" spans="1:2" x14ac:dyDescent="0.2">
      <c r="A127" s="3">
        <v>39965</v>
      </c>
      <c r="B127" s="6">
        <v>3.72</v>
      </c>
    </row>
    <row r="128" spans="1:2" x14ac:dyDescent="0.2">
      <c r="A128" s="3">
        <v>39995</v>
      </c>
      <c r="B128" s="6">
        <v>3.56</v>
      </c>
    </row>
    <row r="129" spans="1:2" x14ac:dyDescent="0.2">
      <c r="A129" s="3">
        <v>40026</v>
      </c>
      <c r="B129" s="6">
        <v>3.59</v>
      </c>
    </row>
    <row r="130" spans="1:2" x14ac:dyDescent="0.2">
      <c r="A130" s="3">
        <v>40057</v>
      </c>
      <c r="B130" s="6">
        <v>3.4</v>
      </c>
    </row>
    <row r="131" spans="1:2" x14ac:dyDescent="0.2">
      <c r="A131" s="3">
        <v>40087</v>
      </c>
      <c r="B131" s="6">
        <v>3.39</v>
      </c>
    </row>
    <row r="132" spans="1:2" x14ac:dyDescent="0.2">
      <c r="A132" s="3">
        <v>40118</v>
      </c>
      <c r="B132" s="6">
        <v>3.4</v>
      </c>
    </row>
    <row r="133" spans="1:2" x14ac:dyDescent="0.2">
      <c r="A133" s="3">
        <v>40148</v>
      </c>
      <c r="B133" s="6">
        <v>3.59</v>
      </c>
    </row>
    <row r="134" spans="1:2" x14ac:dyDescent="0.2">
      <c r="A134" s="3">
        <v>40179</v>
      </c>
      <c r="B134" s="6">
        <v>3.73</v>
      </c>
    </row>
    <row r="135" spans="1:2" x14ac:dyDescent="0.2">
      <c r="A135" s="3">
        <v>40210</v>
      </c>
      <c r="B135" s="6">
        <v>3.69</v>
      </c>
    </row>
    <row r="136" spans="1:2" x14ac:dyDescent="0.2">
      <c r="A136" s="3">
        <v>40238</v>
      </c>
      <c r="B136" s="6">
        <v>3.73</v>
      </c>
    </row>
    <row r="137" spans="1:2" x14ac:dyDescent="0.2">
      <c r="A137" s="3">
        <v>40269</v>
      </c>
      <c r="B137" s="6">
        <v>3.85</v>
      </c>
    </row>
    <row r="138" spans="1:2" x14ac:dyDescent="0.2">
      <c r="A138" s="3">
        <v>40299</v>
      </c>
      <c r="B138" s="6">
        <v>3.42</v>
      </c>
    </row>
    <row r="139" spans="1:2" x14ac:dyDescent="0.2">
      <c r="A139" s="3">
        <v>40330</v>
      </c>
      <c r="B139" s="6">
        <v>3.2</v>
      </c>
    </row>
    <row r="140" spans="1:2" x14ac:dyDescent="0.2">
      <c r="A140" s="3">
        <v>40360</v>
      </c>
      <c r="B140" s="6">
        <v>3.01</v>
      </c>
    </row>
    <row r="141" spans="1:2" x14ac:dyDescent="0.2">
      <c r="A141" s="3">
        <v>40391</v>
      </c>
      <c r="B141" s="6">
        <v>2.7</v>
      </c>
    </row>
    <row r="142" spans="1:2" x14ac:dyDescent="0.2">
      <c r="A142" s="3">
        <v>40422</v>
      </c>
      <c r="B142" s="6">
        <v>2.65</v>
      </c>
    </row>
    <row r="143" spans="1:2" x14ac:dyDescent="0.2">
      <c r="A143" s="3">
        <v>40452</v>
      </c>
      <c r="B143" s="6">
        <v>2.54</v>
      </c>
    </row>
    <row r="144" spans="1:2" x14ac:dyDescent="0.2">
      <c r="A144" s="3">
        <v>40483</v>
      </c>
      <c r="B144" s="6">
        <v>2.76</v>
      </c>
    </row>
    <row r="145" spans="1:2" x14ac:dyDescent="0.2">
      <c r="A145" s="3">
        <v>40513</v>
      </c>
      <c r="B145" s="6">
        <v>3.29</v>
      </c>
    </row>
    <row r="146" spans="1:2" x14ac:dyDescent="0.2">
      <c r="A146" s="3">
        <v>40544</v>
      </c>
      <c r="B146" s="6">
        <v>3.39</v>
      </c>
    </row>
    <row r="147" spans="1:2" x14ac:dyDescent="0.2">
      <c r="A147" s="3">
        <v>40575</v>
      </c>
      <c r="B147" s="6">
        <v>3.58</v>
      </c>
    </row>
    <row r="148" spans="1:2" x14ac:dyDescent="0.2">
      <c r="A148" s="3">
        <v>40603</v>
      </c>
      <c r="B148" s="6">
        <v>3.41</v>
      </c>
    </row>
    <row r="149" spans="1:2" x14ac:dyDescent="0.2">
      <c r="A149" s="3">
        <v>40634</v>
      </c>
      <c r="B149" s="6">
        <v>3.46</v>
      </c>
    </row>
    <row r="150" spans="1:2" x14ac:dyDescent="0.2">
      <c r="A150" s="3">
        <v>40664</v>
      </c>
      <c r="B150" s="6">
        <v>3.17</v>
      </c>
    </row>
    <row r="151" spans="1:2" x14ac:dyDescent="0.2">
      <c r="A151" s="3">
        <v>40695</v>
      </c>
      <c r="B151" s="6">
        <v>3</v>
      </c>
    </row>
    <row r="152" spans="1:2" x14ac:dyDescent="0.2">
      <c r="A152" s="3">
        <v>40725</v>
      </c>
      <c r="B152" s="6">
        <v>3</v>
      </c>
    </row>
    <row r="153" spans="1:2" x14ac:dyDescent="0.2">
      <c r="A153" s="3">
        <v>40756</v>
      </c>
      <c r="B153" s="6">
        <v>2.2999999999999998</v>
      </c>
    </row>
    <row r="154" spans="1:2" x14ac:dyDescent="0.2">
      <c r="A154" s="3">
        <v>40787</v>
      </c>
      <c r="B154" s="6">
        <v>1.98</v>
      </c>
    </row>
    <row r="155" spans="1:2" x14ac:dyDescent="0.2">
      <c r="A155" s="3">
        <v>40817</v>
      </c>
      <c r="B155" s="6">
        <v>2.15</v>
      </c>
    </row>
    <row r="156" spans="1:2" x14ac:dyDescent="0.2">
      <c r="A156" s="3">
        <v>40848</v>
      </c>
      <c r="B156" s="6">
        <v>2.0099999999999998</v>
      </c>
    </row>
    <row r="157" spans="1:2" x14ac:dyDescent="0.2">
      <c r="A157" s="3">
        <v>40878</v>
      </c>
      <c r="B157" s="6">
        <v>1.98</v>
      </c>
    </row>
    <row r="158" spans="1:2" x14ac:dyDescent="0.2">
      <c r="A158" s="3">
        <v>40909</v>
      </c>
      <c r="B158" s="6">
        <v>1.97</v>
      </c>
    </row>
    <row r="159" spans="1:2" x14ac:dyDescent="0.2">
      <c r="A159" s="3">
        <v>40940</v>
      </c>
      <c r="B159" s="6">
        <v>1.97</v>
      </c>
    </row>
    <row r="160" spans="1:2" x14ac:dyDescent="0.2">
      <c r="A160" s="3">
        <v>40969</v>
      </c>
      <c r="B160" s="6">
        <v>2.17</v>
      </c>
    </row>
    <row r="161" spans="1:2" x14ac:dyDescent="0.2">
      <c r="A161" s="3">
        <v>41000</v>
      </c>
      <c r="B161" s="6">
        <v>2.0499999999999998</v>
      </c>
    </row>
    <row r="162" spans="1:2" x14ac:dyDescent="0.2">
      <c r="A162" s="3">
        <v>41030</v>
      </c>
      <c r="B162" s="6">
        <v>1.8</v>
      </c>
    </row>
    <row r="163" spans="1:2" x14ac:dyDescent="0.2">
      <c r="A163" s="3">
        <v>41061</v>
      </c>
      <c r="B163" s="6">
        <v>1.62</v>
      </c>
    </row>
    <row r="164" spans="1:2" x14ac:dyDescent="0.2">
      <c r="A164" s="3">
        <v>41091</v>
      </c>
      <c r="B164" s="6">
        <v>1.53</v>
      </c>
    </row>
    <row r="165" spans="1:2" x14ac:dyDescent="0.2">
      <c r="A165" s="3">
        <v>41122</v>
      </c>
      <c r="B165" s="6">
        <v>1.68</v>
      </c>
    </row>
    <row r="166" spans="1:2" x14ac:dyDescent="0.2">
      <c r="A166" s="3">
        <v>41153</v>
      </c>
      <c r="B166" s="6">
        <v>1.72</v>
      </c>
    </row>
    <row r="167" spans="1:2" x14ac:dyDescent="0.2">
      <c r="A167" s="3">
        <v>41183</v>
      </c>
      <c r="B167" s="6">
        <v>1.75</v>
      </c>
    </row>
    <row r="168" spans="1:2" x14ac:dyDescent="0.2">
      <c r="A168" s="3">
        <v>41214</v>
      </c>
      <c r="B168" s="6">
        <v>1.65</v>
      </c>
    </row>
    <row r="169" spans="1:2" x14ac:dyDescent="0.2">
      <c r="A169" s="3">
        <v>41244</v>
      </c>
      <c r="B169" s="6">
        <v>1.72</v>
      </c>
    </row>
    <row r="170" spans="1:2" x14ac:dyDescent="0.2">
      <c r="A170" s="3">
        <v>41275</v>
      </c>
      <c r="B170" s="6">
        <v>1.91</v>
      </c>
    </row>
    <row r="171" spans="1:2" x14ac:dyDescent="0.2">
      <c r="A171" s="3">
        <v>41306</v>
      </c>
      <c r="B171" s="6">
        <v>1.98</v>
      </c>
    </row>
    <row r="172" spans="1:2" x14ac:dyDescent="0.2">
      <c r="A172" s="3">
        <v>41334</v>
      </c>
      <c r="B172" s="6">
        <v>1.96</v>
      </c>
    </row>
    <row r="173" spans="1:2" x14ac:dyDescent="0.2">
      <c r="A173" s="3">
        <v>41365</v>
      </c>
      <c r="B173" s="6">
        <v>1.76</v>
      </c>
    </row>
    <row r="174" spans="1:2" x14ac:dyDescent="0.2">
      <c r="A174" s="3">
        <v>41395</v>
      </c>
      <c r="B174" s="6">
        <v>1.93</v>
      </c>
    </row>
    <row r="175" spans="1:2" x14ac:dyDescent="0.2">
      <c r="A175" s="3">
        <v>41426</v>
      </c>
      <c r="B175" s="6">
        <v>2.2999999999999998</v>
      </c>
    </row>
    <row r="176" spans="1:2" x14ac:dyDescent="0.2">
      <c r="A176" s="3">
        <v>41456</v>
      </c>
      <c r="B176" s="6">
        <v>2.58</v>
      </c>
    </row>
    <row r="177" spans="1:2" x14ac:dyDescent="0.2">
      <c r="A177" s="3">
        <v>41487</v>
      </c>
      <c r="B177" s="6">
        <v>2.74</v>
      </c>
    </row>
    <row r="178" spans="1:2" x14ac:dyDescent="0.2">
      <c r="A178" s="3">
        <v>41518</v>
      </c>
      <c r="B178" s="6">
        <v>2.81</v>
      </c>
    </row>
    <row r="179" spans="1:2" x14ac:dyDescent="0.2">
      <c r="A179" s="3">
        <v>41548</v>
      </c>
      <c r="B179" s="6">
        <v>2.62</v>
      </c>
    </row>
    <row r="180" spans="1:2" x14ac:dyDescent="0.2">
      <c r="A180" s="3">
        <v>41579</v>
      </c>
      <c r="B180" s="6">
        <v>2.72</v>
      </c>
    </row>
    <row r="181" spans="1:2" x14ac:dyDescent="0.2">
      <c r="A181" s="3">
        <v>41609</v>
      </c>
      <c r="B181" s="6">
        <v>2.9</v>
      </c>
    </row>
    <row r="182" spans="1:2" x14ac:dyDescent="0.2">
      <c r="A182" s="3">
        <v>41640</v>
      </c>
      <c r="B182" s="6">
        <v>2.86</v>
      </c>
    </row>
    <row r="183" spans="1:2" x14ac:dyDescent="0.2">
      <c r="A183" s="3">
        <v>41671</v>
      </c>
      <c r="B183" s="6">
        <v>2.71</v>
      </c>
    </row>
    <row r="184" spans="1:2" x14ac:dyDescent="0.2">
      <c r="A184" s="3">
        <v>41699</v>
      </c>
      <c r="B184" s="6">
        <v>2.72</v>
      </c>
    </row>
    <row r="185" spans="1:2" x14ac:dyDescent="0.2">
      <c r="A185" s="3">
        <v>41730</v>
      </c>
      <c r="B185" s="6">
        <v>2.71</v>
      </c>
    </row>
    <row r="186" spans="1:2" x14ac:dyDescent="0.2">
      <c r="A186" s="3">
        <v>41760</v>
      </c>
      <c r="B186" s="6">
        <v>2.56</v>
      </c>
    </row>
    <row r="187" spans="1:2" x14ac:dyDescent="0.2">
      <c r="A187" s="3">
        <v>41791</v>
      </c>
      <c r="B187" s="6">
        <v>2.6</v>
      </c>
    </row>
    <row r="188" spans="1:2" x14ac:dyDescent="0.2">
      <c r="A188" s="3">
        <v>41821</v>
      </c>
      <c r="B188" s="6">
        <v>2.54</v>
      </c>
    </row>
    <row r="189" spans="1:2" x14ac:dyDescent="0.2">
      <c r="A189" s="3">
        <v>41852</v>
      </c>
      <c r="B189" s="6">
        <v>2.42</v>
      </c>
    </row>
    <row r="190" spans="1:2" x14ac:dyDescent="0.2">
      <c r="A190" s="3">
        <v>41883</v>
      </c>
      <c r="B190" s="6">
        <v>2.5299999999999998</v>
      </c>
    </row>
    <row r="191" spans="1:2" x14ac:dyDescent="0.2">
      <c r="A191" s="3">
        <v>41913</v>
      </c>
      <c r="B191" s="6">
        <v>2.2999999999999998</v>
      </c>
    </row>
    <row r="192" spans="1:2" x14ac:dyDescent="0.2">
      <c r="A192" s="3">
        <v>41944</v>
      </c>
      <c r="B192" s="6">
        <v>2.33</v>
      </c>
    </row>
    <row r="193" spans="1:2" x14ac:dyDescent="0.2">
      <c r="A193" s="3">
        <v>41974</v>
      </c>
      <c r="B193" s="6">
        <v>2.21</v>
      </c>
    </row>
    <row r="194" spans="1:2" x14ac:dyDescent="0.2">
      <c r="A194" s="3">
        <v>42005</v>
      </c>
      <c r="B194" s="6">
        <v>1.88</v>
      </c>
    </row>
    <row r="195" spans="1:2" x14ac:dyDescent="0.2">
      <c r="A195" s="3">
        <v>42036</v>
      </c>
      <c r="B195" s="6">
        <v>1.98</v>
      </c>
    </row>
    <row r="196" spans="1:2" x14ac:dyDescent="0.2">
      <c r="A196" s="3">
        <v>42064</v>
      </c>
      <c r="B196" s="6">
        <v>2.04</v>
      </c>
    </row>
    <row r="197" spans="1:2" x14ac:dyDescent="0.2">
      <c r="A197" s="3">
        <v>42095</v>
      </c>
      <c r="B197" s="6">
        <v>1.94</v>
      </c>
    </row>
    <row r="198" spans="1:2" x14ac:dyDescent="0.2">
      <c r="A198" s="3">
        <v>42125</v>
      </c>
      <c r="B198" s="6">
        <v>2.2000000000000002</v>
      </c>
    </row>
    <row r="199" spans="1:2" x14ac:dyDescent="0.2">
      <c r="A199" s="3">
        <v>42156</v>
      </c>
      <c r="B199" s="6">
        <v>2.36</v>
      </c>
    </row>
    <row r="200" spans="1:2" x14ac:dyDescent="0.2">
      <c r="A200" s="3">
        <v>42186</v>
      </c>
      <c r="B200" s="6">
        <v>2.3199999999999998</v>
      </c>
    </row>
    <row r="201" spans="1:2" x14ac:dyDescent="0.2">
      <c r="A201" s="3">
        <v>42217</v>
      </c>
      <c r="B201" s="6">
        <v>2.17</v>
      </c>
    </row>
    <row r="202" spans="1:2" x14ac:dyDescent="0.2">
      <c r="A202" s="3">
        <v>42248</v>
      </c>
      <c r="B202" s="6">
        <v>2.17</v>
      </c>
    </row>
    <row r="203" spans="1:2" x14ac:dyDescent="0.2">
      <c r="A203" s="3">
        <v>42278</v>
      </c>
      <c r="B203" s="6">
        <v>2.0699999999999998</v>
      </c>
    </row>
    <row r="204" spans="1:2" x14ac:dyDescent="0.2">
      <c r="A204" s="3">
        <v>42309</v>
      </c>
      <c r="B204" s="6">
        <v>2.2599999999999998</v>
      </c>
    </row>
    <row r="205" spans="1:2" x14ac:dyDescent="0.2">
      <c r="A205" s="3">
        <v>42339</v>
      </c>
      <c r="B205" s="6">
        <v>2.2400000000000002</v>
      </c>
    </row>
    <row r="206" spans="1:2" x14ac:dyDescent="0.2">
      <c r="A206" s="3">
        <v>42370</v>
      </c>
      <c r="B206" s="6">
        <v>2.09</v>
      </c>
    </row>
    <row r="207" spans="1:2" x14ac:dyDescent="0.2">
      <c r="A207" s="3">
        <v>42401</v>
      </c>
      <c r="B207" s="6">
        <v>1.78</v>
      </c>
    </row>
    <row r="208" spans="1:2" x14ac:dyDescent="0.2">
      <c r="A208" s="3">
        <v>42430</v>
      </c>
      <c r="B208" s="6">
        <v>1.89</v>
      </c>
    </row>
    <row r="209" spans="1:2" x14ac:dyDescent="0.2">
      <c r="A209" s="3">
        <v>42461</v>
      </c>
      <c r="B209" s="6">
        <v>1.81</v>
      </c>
    </row>
    <row r="210" spans="1:2" x14ac:dyDescent="0.2">
      <c r="A210" s="3">
        <v>42491</v>
      </c>
      <c r="B210" s="6">
        <v>1.81</v>
      </c>
    </row>
    <row r="211" spans="1:2" x14ac:dyDescent="0.2">
      <c r="A211" s="3">
        <v>42522</v>
      </c>
      <c r="B211" s="6">
        <v>1.64</v>
      </c>
    </row>
    <row r="212" spans="1:2" x14ac:dyDescent="0.2">
      <c r="A212" s="3">
        <v>42552</v>
      </c>
      <c r="B212" s="6">
        <v>1.5</v>
      </c>
    </row>
    <row r="213" spans="1:2" x14ac:dyDescent="0.2">
      <c r="A213" s="3">
        <v>42583</v>
      </c>
      <c r="B213" s="6">
        <v>1.56</v>
      </c>
    </row>
    <row r="214" spans="1:2" x14ac:dyDescent="0.2">
      <c r="A214" s="3">
        <v>42614</v>
      </c>
      <c r="B214" s="6">
        <v>1.63</v>
      </c>
    </row>
    <row r="215" spans="1:2" x14ac:dyDescent="0.2">
      <c r="A215" s="3">
        <v>42644</v>
      </c>
      <c r="B215" s="6">
        <v>1.76</v>
      </c>
    </row>
    <row r="216" spans="1:2" x14ac:dyDescent="0.2">
      <c r="A216" s="3">
        <v>42675</v>
      </c>
      <c r="B216" s="6">
        <v>2.14</v>
      </c>
    </row>
    <row r="217" spans="1:2" x14ac:dyDescent="0.2">
      <c r="A217" s="3">
        <v>42705</v>
      </c>
      <c r="B217" s="6">
        <v>2.4900000000000002</v>
      </c>
    </row>
    <row r="218" spans="1:2" x14ac:dyDescent="0.2">
      <c r="A218" s="3">
        <v>42736</v>
      </c>
      <c r="B218" s="6">
        <v>2.4300000000000002</v>
      </c>
    </row>
    <row r="219" spans="1:2" x14ac:dyDescent="0.2">
      <c r="A219" s="3">
        <v>42767</v>
      </c>
      <c r="B219" s="6">
        <v>2.42</v>
      </c>
    </row>
    <row r="220" spans="1:2" x14ac:dyDescent="0.2">
      <c r="A220" s="3">
        <v>42795</v>
      </c>
      <c r="B220" s="6">
        <v>2.48</v>
      </c>
    </row>
    <row r="221" spans="1:2" x14ac:dyDescent="0.2">
      <c r="A221" s="3">
        <v>42826</v>
      </c>
      <c r="B221" s="6">
        <v>2.2999999999999998</v>
      </c>
    </row>
    <row r="222" spans="1:2" x14ac:dyDescent="0.2">
      <c r="A222" s="3">
        <v>42856</v>
      </c>
      <c r="B222" s="6">
        <v>2.2999999999999998</v>
      </c>
    </row>
    <row r="223" spans="1:2" x14ac:dyDescent="0.2">
      <c r="A223" s="3">
        <v>42887</v>
      </c>
      <c r="B223" s="6">
        <v>2.19</v>
      </c>
    </row>
    <row r="224" spans="1:2" x14ac:dyDescent="0.2">
      <c r="A224" s="3">
        <v>42917</v>
      </c>
      <c r="B224" s="6">
        <v>2.3199999999999998</v>
      </c>
    </row>
    <row r="225" spans="1:2" x14ac:dyDescent="0.2">
      <c r="A225" s="3">
        <v>42948</v>
      </c>
      <c r="B225" s="6">
        <v>2.21</v>
      </c>
    </row>
    <row r="226" spans="1:2" x14ac:dyDescent="0.2">
      <c r="A226" s="3">
        <v>42979</v>
      </c>
      <c r="B226" s="6">
        <v>2.2000000000000002</v>
      </c>
    </row>
    <row r="227" spans="1:2" x14ac:dyDescent="0.2">
      <c r="A227" s="3">
        <v>43009</v>
      </c>
      <c r="B227" s="6">
        <v>2.36</v>
      </c>
    </row>
    <row r="228" spans="1:2" x14ac:dyDescent="0.2">
      <c r="A228" s="3">
        <v>43040</v>
      </c>
      <c r="B228" s="6">
        <v>2.35</v>
      </c>
    </row>
    <row r="229" spans="1:2" x14ac:dyDescent="0.2">
      <c r="A229" s="3">
        <v>43070</v>
      </c>
      <c r="B229" s="6">
        <v>2.4</v>
      </c>
    </row>
    <row r="230" spans="1:2" x14ac:dyDescent="0.2">
      <c r="A230" s="3">
        <v>43101</v>
      </c>
      <c r="B230" s="6">
        <v>2.58</v>
      </c>
    </row>
    <row r="231" spans="1:2" x14ac:dyDescent="0.2">
      <c r="A231" s="3">
        <v>43132</v>
      </c>
      <c r="B231" s="6">
        <v>2.86</v>
      </c>
    </row>
    <row r="232" spans="1:2" x14ac:dyDescent="0.2">
      <c r="A232" s="3">
        <v>43160</v>
      </c>
      <c r="B232" s="6">
        <v>2.84</v>
      </c>
    </row>
    <row r="233" spans="1:2" x14ac:dyDescent="0.2">
      <c r="A233" s="3">
        <v>43191</v>
      </c>
      <c r="B233" s="6">
        <v>2.87</v>
      </c>
    </row>
    <row r="234" spans="1:2" x14ac:dyDescent="0.2">
      <c r="A234" s="3">
        <v>43221</v>
      </c>
      <c r="B234" s="6">
        <v>2.98</v>
      </c>
    </row>
    <row r="235" spans="1:2" x14ac:dyDescent="0.2">
      <c r="A235" s="3">
        <v>43252</v>
      </c>
      <c r="B235" s="6">
        <v>2.91</v>
      </c>
    </row>
    <row r="236" spans="1:2" x14ac:dyDescent="0.2">
      <c r="A236" s="3">
        <v>43282</v>
      </c>
      <c r="B236" s="6">
        <v>2.89</v>
      </c>
    </row>
    <row r="237" spans="1:2" x14ac:dyDescent="0.2">
      <c r="A237" s="3">
        <v>43313</v>
      </c>
      <c r="B237" s="6">
        <v>2.89</v>
      </c>
    </row>
    <row r="238" spans="1:2" x14ac:dyDescent="0.2">
      <c r="A238" s="3">
        <v>43344</v>
      </c>
      <c r="B238" s="6">
        <v>3</v>
      </c>
    </row>
    <row r="239" spans="1:2" x14ac:dyDescent="0.2">
      <c r="A239" s="3">
        <v>43374</v>
      </c>
      <c r="B239" s="6">
        <v>3.15</v>
      </c>
    </row>
    <row r="240" spans="1:2" x14ac:dyDescent="0.2">
      <c r="A240" s="3">
        <v>43405</v>
      </c>
      <c r="B240" s="6">
        <v>3.12</v>
      </c>
    </row>
    <row r="241" spans="1:2" x14ac:dyDescent="0.2">
      <c r="A241" s="3">
        <v>43435</v>
      </c>
      <c r="B241" s="6">
        <v>2.83</v>
      </c>
    </row>
    <row r="242" spans="1:2" x14ac:dyDescent="0.2">
      <c r="A242" s="3">
        <v>43466</v>
      </c>
      <c r="B242" s="6">
        <v>2.71</v>
      </c>
    </row>
    <row r="243" spans="1:2" x14ac:dyDescent="0.2">
      <c r="A243" s="3">
        <v>43497</v>
      </c>
      <c r="B243" s="6">
        <v>2.68</v>
      </c>
    </row>
    <row r="244" spans="1:2" x14ac:dyDescent="0.2">
      <c r="A244" s="3">
        <v>43525</v>
      </c>
      <c r="B244" s="6">
        <v>2.57</v>
      </c>
    </row>
    <row r="245" spans="1:2" x14ac:dyDescent="0.2">
      <c r="A245" s="3">
        <v>43556</v>
      </c>
      <c r="B245" s="6">
        <v>2.5299999999999998</v>
      </c>
    </row>
    <row r="246" spans="1:2" x14ac:dyDescent="0.2">
      <c r="A246" s="3">
        <v>43586</v>
      </c>
      <c r="B246" s="6">
        <v>2.4</v>
      </c>
    </row>
    <row r="247" spans="1:2" x14ac:dyDescent="0.2">
      <c r="A247" s="3">
        <v>43617</v>
      </c>
      <c r="B247" s="6">
        <v>2.0699999999999998</v>
      </c>
    </row>
    <row r="248" spans="1:2" x14ac:dyDescent="0.2">
      <c r="A248" s="3">
        <v>43647</v>
      </c>
      <c r="B248" s="6">
        <v>2.06</v>
      </c>
    </row>
    <row r="249" spans="1:2" x14ac:dyDescent="0.2">
      <c r="A249" s="3">
        <v>43678</v>
      </c>
      <c r="B249" s="6">
        <v>1.63</v>
      </c>
    </row>
    <row r="250" spans="1:2" x14ac:dyDescent="0.2">
      <c r="A250" s="3">
        <v>43709</v>
      </c>
      <c r="B250" s="6">
        <v>1.7</v>
      </c>
    </row>
    <row r="251" spans="1:2" x14ac:dyDescent="0.2">
      <c r="A251" s="3">
        <v>43739</v>
      </c>
      <c r="B251" s="6">
        <v>1.71</v>
      </c>
    </row>
    <row r="252" spans="1:2" x14ac:dyDescent="0.2">
      <c r="A252" s="3">
        <v>43770</v>
      </c>
      <c r="B252" s="6">
        <v>1.81</v>
      </c>
    </row>
    <row r="253" spans="1:2" x14ac:dyDescent="0.2">
      <c r="A253" s="3">
        <v>43800</v>
      </c>
      <c r="B253" s="6">
        <v>1.86</v>
      </c>
    </row>
    <row r="254" spans="1:2" x14ac:dyDescent="0.2">
      <c r="A254" s="3">
        <v>43831</v>
      </c>
      <c r="B254" s="6">
        <v>1.76</v>
      </c>
    </row>
    <row r="255" spans="1:2" x14ac:dyDescent="0.2">
      <c r="A255" s="3">
        <v>43862</v>
      </c>
      <c r="B255" s="6">
        <v>1.5</v>
      </c>
    </row>
    <row r="256" spans="1:2" x14ac:dyDescent="0.2">
      <c r="A256" s="3">
        <v>43891</v>
      </c>
      <c r="B256" s="6">
        <v>0.87</v>
      </c>
    </row>
    <row r="257" spans="1:2" x14ac:dyDescent="0.2">
      <c r="A257" s="3">
        <v>43922</v>
      </c>
      <c r="B257" s="6">
        <v>0.66</v>
      </c>
    </row>
    <row r="258" spans="1:2" x14ac:dyDescent="0.2">
      <c r="A258" s="3">
        <v>43952</v>
      </c>
      <c r="B258" s="6">
        <v>0.67</v>
      </c>
    </row>
    <row r="259" spans="1:2" x14ac:dyDescent="0.2">
      <c r="A259" s="3">
        <v>43983</v>
      </c>
      <c r="B259" s="6">
        <v>0.73</v>
      </c>
    </row>
    <row r="260" spans="1:2" x14ac:dyDescent="0.2">
      <c r="A260" s="3">
        <v>44013</v>
      </c>
      <c r="B260" s="6">
        <v>0.62</v>
      </c>
    </row>
    <row r="261" spans="1:2" x14ac:dyDescent="0.2">
      <c r="A261" s="3">
        <v>44044</v>
      </c>
      <c r="B261" s="6">
        <v>0.65</v>
      </c>
    </row>
    <row r="262" spans="1:2" x14ac:dyDescent="0.2">
      <c r="A262" s="3">
        <v>44075</v>
      </c>
      <c r="B262" s="6">
        <v>0.68</v>
      </c>
    </row>
    <row r="263" spans="1:2" x14ac:dyDescent="0.2">
      <c r="A263" s="3">
        <v>44105</v>
      </c>
      <c r="B263" s="6">
        <v>0.79</v>
      </c>
    </row>
    <row r="264" spans="1:2" x14ac:dyDescent="0.2">
      <c r="A264" s="3">
        <v>44136</v>
      </c>
      <c r="B264" s="6">
        <v>0.87</v>
      </c>
    </row>
    <row r="265" spans="1:2" x14ac:dyDescent="0.2">
      <c r="A265" s="3">
        <v>44166</v>
      </c>
      <c r="B265" s="6">
        <v>0.93</v>
      </c>
    </row>
    <row r="266" spans="1:2" x14ac:dyDescent="0.2">
      <c r="A266" s="3">
        <v>44197</v>
      </c>
      <c r="B266" s="6">
        <v>1.08</v>
      </c>
    </row>
    <row r="267" spans="1:2" x14ac:dyDescent="0.2">
      <c r="A267" s="3">
        <v>44228</v>
      </c>
      <c r="B267" s="6">
        <v>1.26</v>
      </c>
    </row>
    <row r="268" spans="1:2" x14ac:dyDescent="0.2">
      <c r="A268" s="3">
        <v>44256</v>
      </c>
      <c r="B268" s="6">
        <v>1.61</v>
      </c>
    </row>
    <row r="269" spans="1:2" x14ac:dyDescent="0.2">
      <c r="A269" s="3">
        <v>44287</v>
      </c>
      <c r="B269" s="6">
        <v>1.64</v>
      </c>
    </row>
    <row r="270" spans="1:2" x14ac:dyDescent="0.2">
      <c r="A270" s="3">
        <v>44317</v>
      </c>
      <c r="B270" s="6">
        <v>1.62</v>
      </c>
    </row>
    <row r="271" spans="1:2" x14ac:dyDescent="0.2">
      <c r="A271" s="3">
        <v>44348</v>
      </c>
      <c r="B271" s="6">
        <v>1.52</v>
      </c>
    </row>
    <row r="272" spans="1:2" x14ac:dyDescent="0.2">
      <c r="A272" s="3">
        <v>44378</v>
      </c>
      <c r="B272" s="6">
        <v>1.32</v>
      </c>
    </row>
    <row r="273" spans="1:2" x14ac:dyDescent="0.2">
      <c r="A273" s="3">
        <v>44409</v>
      </c>
      <c r="B273" s="6">
        <v>1.28</v>
      </c>
    </row>
    <row r="274" spans="1:2" x14ac:dyDescent="0.2">
      <c r="A274" s="3">
        <v>44440</v>
      </c>
      <c r="B274" s="6">
        <v>1.37</v>
      </c>
    </row>
    <row r="275" spans="1:2" x14ac:dyDescent="0.2">
      <c r="A275" s="3">
        <v>44470</v>
      </c>
      <c r="B275" s="6">
        <v>1.58</v>
      </c>
    </row>
    <row r="276" spans="1:2" x14ac:dyDescent="0.2">
      <c r="A276" s="3">
        <v>44501</v>
      </c>
      <c r="B276" s="6">
        <v>1.56</v>
      </c>
    </row>
    <row r="277" spans="1:2" x14ac:dyDescent="0.2">
      <c r="A277" s="3">
        <v>44531</v>
      </c>
      <c r="B277" s="6">
        <v>1.47</v>
      </c>
    </row>
    <row r="278" spans="1:2" x14ac:dyDescent="0.2">
      <c r="A278" s="3">
        <v>44562</v>
      </c>
      <c r="B278" s="6">
        <v>1.76</v>
      </c>
    </row>
    <row r="279" spans="1:2" x14ac:dyDescent="0.2">
      <c r="A279" s="3">
        <v>44593</v>
      </c>
      <c r="B279" s="6">
        <v>1.93</v>
      </c>
    </row>
    <row r="280" spans="1:2" x14ac:dyDescent="0.2">
      <c r="A280" s="3">
        <v>44621</v>
      </c>
      <c r="B280" s="6">
        <v>2.13</v>
      </c>
    </row>
    <row r="281" spans="1:2" x14ac:dyDescent="0.2">
      <c r="A281" s="3">
        <v>44652</v>
      </c>
      <c r="B281" s="6">
        <v>2.75</v>
      </c>
    </row>
    <row r="282" spans="1:2" x14ac:dyDescent="0.2">
      <c r="A282" s="3">
        <v>44682</v>
      </c>
      <c r="B282" s="6">
        <v>2.9</v>
      </c>
    </row>
    <row r="283" spans="1:2" x14ac:dyDescent="0.2">
      <c r="A283" s="3">
        <v>44713</v>
      </c>
      <c r="B283" s="6">
        <v>3.14</v>
      </c>
    </row>
    <row r="284" spans="1:2" x14ac:dyDescent="0.2">
      <c r="A284" s="3">
        <v>44743</v>
      </c>
      <c r="B284" s="6">
        <v>2.9</v>
      </c>
    </row>
    <row r="285" spans="1:2" x14ac:dyDescent="0.2">
      <c r="A285" s="3">
        <v>44774</v>
      </c>
      <c r="B285" s="6">
        <v>2.9</v>
      </c>
    </row>
    <row r="286" spans="1:2" x14ac:dyDescent="0.2">
      <c r="A286" s="3">
        <v>44805</v>
      </c>
      <c r="B286" s="6">
        <v>3.52</v>
      </c>
    </row>
    <row r="287" spans="1:2" x14ac:dyDescent="0.2">
      <c r="A287" s="3">
        <v>44835</v>
      </c>
      <c r="B287" s="6">
        <v>3.98</v>
      </c>
    </row>
    <row r="288" spans="1:2" x14ac:dyDescent="0.2">
      <c r="A288" s="3">
        <v>44866</v>
      </c>
      <c r="B288" s="6">
        <v>3.89</v>
      </c>
    </row>
    <row r="289" spans="1:2" x14ac:dyDescent="0.2">
      <c r="A289" s="3">
        <v>44896</v>
      </c>
      <c r="B289" s="6">
        <v>3.62</v>
      </c>
    </row>
    <row r="290" spans="1:2" x14ac:dyDescent="0.2">
      <c r="A290" s="3">
        <v>44927</v>
      </c>
      <c r="B290" s="6">
        <v>3.53</v>
      </c>
    </row>
    <row r="291" spans="1:2" x14ac:dyDescent="0.2">
      <c r="A291" s="3">
        <v>44958</v>
      </c>
      <c r="B291" s="6">
        <v>3.75</v>
      </c>
    </row>
    <row r="292" spans="1:2" x14ac:dyDescent="0.2">
      <c r="A292" s="3">
        <v>44986</v>
      </c>
      <c r="B292" s="6">
        <v>3.66</v>
      </c>
    </row>
    <row r="293" spans="1:2" x14ac:dyDescent="0.2">
      <c r="A293" s="3">
        <v>45017</v>
      </c>
      <c r="B293" s="6">
        <v>3.46</v>
      </c>
    </row>
    <row r="294" spans="1:2" x14ac:dyDescent="0.2">
      <c r="A294" s="3">
        <v>45047</v>
      </c>
      <c r="B294" s="6">
        <v>3.57</v>
      </c>
    </row>
    <row r="295" spans="1:2" x14ac:dyDescent="0.2">
      <c r="A295" s="3">
        <v>45078</v>
      </c>
      <c r="B295" s="6">
        <v>3.75</v>
      </c>
    </row>
    <row r="296" spans="1:2" x14ac:dyDescent="0.2">
      <c r="A296" s="3">
        <v>45108</v>
      </c>
      <c r="B296" s="6">
        <v>3.9</v>
      </c>
    </row>
    <row r="297" spans="1:2" x14ac:dyDescent="0.2">
      <c r="A297" s="3">
        <v>45139</v>
      </c>
      <c r="B297" s="6">
        <v>4.17</v>
      </c>
    </row>
    <row r="298" spans="1:2" x14ac:dyDescent="0.2">
      <c r="A298" s="3">
        <v>45170</v>
      </c>
      <c r="B298" s="6">
        <v>4.38</v>
      </c>
    </row>
    <row r="299" spans="1:2" x14ac:dyDescent="0.2">
      <c r="A299" s="3">
        <v>45200</v>
      </c>
      <c r="B299" s="6">
        <v>4.8</v>
      </c>
    </row>
    <row r="300" spans="1:2" x14ac:dyDescent="0.2">
      <c r="A300" s="3">
        <v>45231</v>
      </c>
      <c r="B300" s="6">
        <v>4.5</v>
      </c>
    </row>
    <row r="301" spans="1:2" x14ac:dyDescent="0.2">
      <c r="A301" s="3">
        <v>45261</v>
      </c>
      <c r="B301" s="6">
        <v>4.0199999999999996</v>
      </c>
    </row>
    <row r="302" spans="1:2" x14ac:dyDescent="0.2">
      <c r="A302" s="3">
        <v>45292</v>
      </c>
      <c r="B302" s="6">
        <v>4.0599999999999996</v>
      </c>
    </row>
    <row r="303" spans="1:2" x14ac:dyDescent="0.2">
      <c r="A303" s="3">
        <v>45323</v>
      </c>
      <c r="B303" s="6">
        <v>4.21</v>
      </c>
    </row>
    <row r="304" spans="1:2" x14ac:dyDescent="0.2">
      <c r="A304" s="3">
        <v>45352</v>
      </c>
      <c r="B304" s="6">
        <v>4.21</v>
      </c>
    </row>
    <row r="305" spans="1:2" x14ac:dyDescent="0.2">
      <c r="A305" s="3">
        <v>45383</v>
      </c>
      <c r="B305" s="6">
        <v>4.54</v>
      </c>
    </row>
    <row r="306" spans="1:2" x14ac:dyDescent="0.2">
      <c r="A306" s="3">
        <v>45413</v>
      </c>
      <c r="B306" s="6">
        <v>4.4800000000000004</v>
      </c>
    </row>
    <row r="307" spans="1:2" x14ac:dyDescent="0.2">
      <c r="A307" s="3">
        <v>45444</v>
      </c>
      <c r="B307" s="6">
        <v>4.3099999999999996</v>
      </c>
    </row>
    <row r="308" spans="1:2" x14ac:dyDescent="0.2">
      <c r="A308" s="3">
        <v>45474</v>
      </c>
      <c r="B308" s="6">
        <v>4.25</v>
      </c>
    </row>
    <row r="309" spans="1:2" x14ac:dyDescent="0.2">
      <c r="A309" s="3">
        <v>45505</v>
      </c>
      <c r="B309" s="6">
        <v>3.87</v>
      </c>
    </row>
    <row r="310" spans="1:2" x14ac:dyDescent="0.2">
      <c r="A310" s="3">
        <v>45536</v>
      </c>
      <c r="B310" s="6">
        <v>3.72</v>
      </c>
    </row>
    <row r="311" spans="1:2" x14ac:dyDescent="0.2">
      <c r="A311" s="3">
        <v>45566</v>
      </c>
      <c r="B311" s="6">
        <v>4.0999999999999996</v>
      </c>
    </row>
    <row r="312" spans="1:2" x14ac:dyDescent="0.2">
      <c r="A312" s="3">
        <v>45597</v>
      </c>
      <c r="B312" s="6">
        <v>4.3600000000000003</v>
      </c>
    </row>
    <row r="313" spans="1:2" x14ac:dyDescent="0.2">
      <c r="A313" s="3">
        <v>45627</v>
      </c>
      <c r="B313" s="6">
        <v>4.3899999999999997</v>
      </c>
    </row>
    <row r="314" spans="1:2" x14ac:dyDescent="0.2">
      <c r="A314" s="3">
        <v>45658</v>
      </c>
      <c r="B314" s="6">
        <v>4.63</v>
      </c>
    </row>
    <row r="315" spans="1:2" x14ac:dyDescent="0.2">
      <c r="A315" s="3">
        <v>45689</v>
      </c>
      <c r="B315" s="6">
        <v>4.45</v>
      </c>
    </row>
    <row r="316" spans="1:2" x14ac:dyDescent="0.2">
      <c r="A316" s="3">
        <v>45717</v>
      </c>
      <c r="B316" s="6">
        <v>4.28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B586-8E53-0A42-A5C9-89AF3A3F9F1D}">
  <dimension ref="A1:B316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6.83203125" style="6" bestFit="1" customWidth="1"/>
  </cols>
  <sheetData>
    <row r="1" spans="1:2" x14ac:dyDescent="0.2">
      <c r="A1" s="4" t="s">
        <v>5</v>
      </c>
      <c r="B1" s="4" t="s">
        <v>16</v>
      </c>
    </row>
    <row r="2" spans="1:2" x14ac:dyDescent="0.2">
      <c r="A2" s="3">
        <v>36161</v>
      </c>
      <c r="B2" s="6">
        <v>4.34</v>
      </c>
    </row>
    <row r="3" spans="1:2" x14ac:dyDescent="0.2">
      <c r="A3" s="3">
        <v>36192</v>
      </c>
      <c r="B3" s="6">
        <v>4.4400000000000004</v>
      </c>
    </row>
    <row r="4" spans="1:2" x14ac:dyDescent="0.2">
      <c r="A4" s="3">
        <v>36220</v>
      </c>
      <c r="B4" s="6">
        <v>4.4400000000000004</v>
      </c>
    </row>
    <row r="5" spans="1:2" x14ac:dyDescent="0.2">
      <c r="A5" s="3">
        <v>36251</v>
      </c>
      <c r="B5" s="6">
        <v>4.29</v>
      </c>
    </row>
    <row r="6" spans="1:2" x14ac:dyDescent="0.2">
      <c r="A6" s="3">
        <v>36281</v>
      </c>
      <c r="B6" s="6">
        <v>4.5</v>
      </c>
    </row>
    <row r="7" spans="1:2" x14ac:dyDescent="0.2">
      <c r="A7" s="3">
        <v>36312</v>
      </c>
      <c r="B7" s="6">
        <v>4.57</v>
      </c>
    </row>
    <row r="8" spans="1:2" x14ac:dyDescent="0.2">
      <c r="A8" s="3">
        <v>36342</v>
      </c>
      <c r="B8" s="6">
        <v>4.55</v>
      </c>
    </row>
    <row r="9" spans="1:2" x14ac:dyDescent="0.2">
      <c r="A9" s="3">
        <v>36373</v>
      </c>
      <c r="B9" s="6">
        <v>4.72</v>
      </c>
    </row>
    <row r="10" spans="1:2" x14ac:dyDescent="0.2">
      <c r="A10" s="3">
        <v>36404</v>
      </c>
      <c r="B10" s="6">
        <v>4.68</v>
      </c>
    </row>
    <row r="11" spans="1:2" x14ac:dyDescent="0.2">
      <c r="A11" s="3">
        <v>36434</v>
      </c>
      <c r="B11" s="6">
        <v>4.8600000000000003</v>
      </c>
    </row>
    <row r="12" spans="1:2" x14ac:dyDescent="0.2">
      <c r="A12" s="3">
        <v>36465</v>
      </c>
      <c r="B12" s="6">
        <v>5.07</v>
      </c>
    </row>
    <row r="13" spans="1:2" x14ac:dyDescent="0.2">
      <c r="A13" s="3">
        <v>36495</v>
      </c>
      <c r="B13" s="6">
        <v>5.2</v>
      </c>
    </row>
    <row r="14" spans="1:2" x14ac:dyDescent="0.2">
      <c r="A14" s="3">
        <v>36526</v>
      </c>
      <c r="B14" s="6">
        <v>5.32</v>
      </c>
    </row>
    <row r="15" spans="1:2" x14ac:dyDescent="0.2">
      <c r="A15" s="3">
        <v>36557</v>
      </c>
      <c r="B15" s="6">
        <v>5.55</v>
      </c>
    </row>
    <row r="16" spans="1:2" x14ac:dyDescent="0.2">
      <c r="A16" s="3">
        <v>36586</v>
      </c>
      <c r="B16" s="6">
        <v>5.69</v>
      </c>
    </row>
    <row r="17" spans="1:2" x14ac:dyDescent="0.2">
      <c r="A17" s="3">
        <v>36617</v>
      </c>
      <c r="B17" s="6">
        <v>5.66</v>
      </c>
    </row>
    <row r="18" spans="1:2" x14ac:dyDescent="0.2">
      <c r="A18" s="3">
        <v>36647</v>
      </c>
      <c r="B18" s="6">
        <v>5.79</v>
      </c>
    </row>
    <row r="19" spans="1:2" x14ac:dyDescent="0.2">
      <c r="A19" s="3">
        <v>36678</v>
      </c>
      <c r="B19" s="6">
        <v>5.69</v>
      </c>
    </row>
    <row r="20" spans="1:2" x14ac:dyDescent="0.2">
      <c r="A20" s="3">
        <v>36708</v>
      </c>
      <c r="B20" s="6">
        <v>5.96</v>
      </c>
    </row>
    <row r="21" spans="1:2" x14ac:dyDescent="0.2">
      <c r="A21" s="3">
        <v>36739</v>
      </c>
      <c r="B21" s="6">
        <v>6.09</v>
      </c>
    </row>
    <row r="22" spans="1:2" x14ac:dyDescent="0.2">
      <c r="A22" s="3">
        <v>36770</v>
      </c>
      <c r="B22" s="6">
        <v>6</v>
      </c>
    </row>
    <row r="23" spans="1:2" x14ac:dyDescent="0.2">
      <c r="A23" s="3">
        <v>36800</v>
      </c>
      <c r="B23" s="6">
        <v>6.11</v>
      </c>
    </row>
    <row r="24" spans="1:2" x14ac:dyDescent="0.2">
      <c r="A24" s="3">
        <v>36831</v>
      </c>
      <c r="B24" s="6">
        <v>6.17</v>
      </c>
    </row>
    <row r="25" spans="1:2" x14ac:dyDescent="0.2">
      <c r="A25" s="3">
        <v>36861</v>
      </c>
      <c r="B25" s="6">
        <v>5.77</v>
      </c>
    </row>
    <row r="26" spans="1:2" x14ac:dyDescent="0.2">
      <c r="A26" s="3">
        <v>36892</v>
      </c>
      <c r="B26" s="6">
        <v>5.15</v>
      </c>
    </row>
    <row r="27" spans="1:2" x14ac:dyDescent="0.2">
      <c r="A27" s="3">
        <v>36923</v>
      </c>
      <c r="B27" s="6">
        <v>4.88</v>
      </c>
    </row>
    <row r="28" spans="1:2" x14ac:dyDescent="0.2">
      <c r="A28" s="3">
        <v>36951</v>
      </c>
      <c r="B28" s="6">
        <v>4.42</v>
      </c>
    </row>
    <row r="29" spans="1:2" x14ac:dyDescent="0.2">
      <c r="A29" s="3">
        <v>36982</v>
      </c>
      <c r="B29" s="6">
        <v>3.87</v>
      </c>
    </row>
    <row r="30" spans="1:2" x14ac:dyDescent="0.2">
      <c r="A30" s="3">
        <v>37012</v>
      </c>
      <c r="B30" s="6">
        <v>3.62</v>
      </c>
    </row>
    <row r="31" spans="1:2" x14ac:dyDescent="0.2">
      <c r="A31" s="3">
        <v>37043</v>
      </c>
      <c r="B31" s="6">
        <v>3.49</v>
      </c>
    </row>
    <row r="32" spans="1:2" x14ac:dyDescent="0.2">
      <c r="A32" s="3">
        <v>37073</v>
      </c>
      <c r="B32" s="6">
        <v>3.51</v>
      </c>
    </row>
    <row r="33" spans="1:2" x14ac:dyDescent="0.2">
      <c r="A33" s="3">
        <v>37104</v>
      </c>
      <c r="B33" s="6">
        <v>3.36</v>
      </c>
    </row>
    <row r="34" spans="1:2" x14ac:dyDescent="0.2">
      <c r="A34" s="3">
        <v>37135</v>
      </c>
      <c r="B34" s="6">
        <v>2.64</v>
      </c>
    </row>
    <row r="35" spans="1:2" x14ac:dyDescent="0.2">
      <c r="A35" s="3">
        <v>37165</v>
      </c>
      <c r="B35" s="6">
        <v>2.16</v>
      </c>
    </row>
    <row r="36" spans="1:2" x14ac:dyDescent="0.2">
      <c r="A36" s="3">
        <v>37196</v>
      </c>
      <c r="B36" s="6">
        <v>1.87</v>
      </c>
    </row>
    <row r="37" spans="1:2" x14ac:dyDescent="0.2">
      <c r="A37" s="3">
        <v>37226</v>
      </c>
      <c r="B37" s="6">
        <v>1.69</v>
      </c>
    </row>
    <row r="38" spans="1:2" x14ac:dyDescent="0.2">
      <c r="A38" s="3">
        <v>37257</v>
      </c>
      <c r="B38" s="6">
        <v>1.65</v>
      </c>
    </row>
    <row r="39" spans="1:2" x14ac:dyDescent="0.2">
      <c r="A39" s="3">
        <v>37288</v>
      </c>
      <c r="B39" s="6">
        <v>1.72</v>
      </c>
    </row>
    <row r="40" spans="1:2" x14ac:dyDescent="0.2">
      <c r="A40" s="3">
        <v>37316</v>
      </c>
      <c r="B40" s="6">
        <v>1.79</v>
      </c>
    </row>
    <row r="41" spans="1:2" x14ac:dyDescent="0.2">
      <c r="A41" s="3">
        <v>37347</v>
      </c>
      <c r="B41" s="6">
        <v>1.71</v>
      </c>
    </row>
    <row r="42" spans="1:2" x14ac:dyDescent="0.2">
      <c r="A42" s="3">
        <v>37377</v>
      </c>
      <c r="B42" s="6">
        <v>1.73</v>
      </c>
    </row>
    <row r="43" spans="1:2" x14ac:dyDescent="0.2">
      <c r="A43" s="3">
        <v>37408</v>
      </c>
      <c r="B43" s="6">
        <v>1.7</v>
      </c>
    </row>
    <row r="44" spans="1:2" x14ac:dyDescent="0.2">
      <c r="A44" s="3">
        <v>37438</v>
      </c>
      <c r="B44" s="6">
        <v>1.68</v>
      </c>
    </row>
    <row r="45" spans="1:2" x14ac:dyDescent="0.2">
      <c r="A45" s="3">
        <v>37469</v>
      </c>
      <c r="B45" s="6">
        <v>1.62</v>
      </c>
    </row>
    <row r="46" spans="1:2" x14ac:dyDescent="0.2">
      <c r="A46" s="3">
        <v>37500</v>
      </c>
      <c r="B46" s="6">
        <v>1.63</v>
      </c>
    </row>
    <row r="47" spans="1:2" x14ac:dyDescent="0.2">
      <c r="A47" s="3">
        <v>37530</v>
      </c>
      <c r="B47" s="6">
        <v>1.58</v>
      </c>
    </row>
    <row r="48" spans="1:2" x14ac:dyDescent="0.2">
      <c r="A48" s="3">
        <v>37561</v>
      </c>
      <c r="B48" s="6">
        <v>1.23</v>
      </c>
    </row>
    <row r="49" spans="1:2" x14ac:dyDescent="0.2">
      <c r="A49" s="3">
        <v>37591</v>
      </c>
      <c r="B49" s="6">
        <v>1.19</v>
      </c>
    </row>
    <row r="50" spans="1:2" x14ac:dyDescent="0.2">
      <c r="A50" s="3">
        <v>37622</v>
      </c>
      <c r="B50" s="6">
        <v>1.17</v>
      </c>
    </row>
    <row r="51" spans="1:2" x14ac:dyDescent="0.2">
      <c r="A51" s="3">
        <v>37653</v>
      </c>
      <c r="B51" s="6">
        <v>1.17</v>
      </c>
    </row>
    <row r="52" spans="1:2" x14ac:dyDescent="0.2">
      <c r="A52" s="3">
        <v>37681</v>
      </c>
      <c r="B52" s="6">
        <v>1.1299999999999999</v>
      </c>
    </row>
    <row r="53" spans="1:2" x14ac:dyDescent="0.2">
      <c r="A53" s="3">
        <v>37712</v>
      </c>
      <c r="B53" s="6">
        <v>1.1299999999999999</v>
      </c>
    </row>
    <row r="54" spans="1:2" x14ac:dyDescent="0.2">
      <c r="A54" s="3">
        <v>37742</v>
      </c>
      <c r="B54" s="6">
        <v>1.07</v>
      </c>
    </row>
    <row r="55" spans="1:2" x14ac:dyDescent="0.2">
      <c r="A55" s="3">
        <v>37773</v>
      </c>
      <c r="B55" s="6">
        <v>0.92</v>
      </c>
    </row>
    <row r="56" spans="1:2" x14ac:dyDescent="0.2">
      <c r="A56" s="3">
        <v>37803</v>
      </c>
      <c r="B56" s="6">
        <v>0.9</v>
      </c>
    </row>
    <row r="57" spans="1:2" x14ac:dyDescent="0.2">
      <c r="A57" s="3">
        <v>37834</v>
      </c>
      <c r="B57" s="6">
        <v>0.95</v>
      </c>
    </row>
    <row r="58" spans="1:2" x14ac:dyDescent="0.2">
      <c r="A58" s="3">
        <v>37865</v>
      </c>
      <c r="B58" s="6">
        <v>0.94</v>
      </c>
    </row>
    <row r="59" spans="1:2" x14ac:dyDescent="0.2">
      <c r="A59" s="3">
        <v>37895</v>
      </c>
      <c r="B59" s="6">
        <v>0.92</v>
      </c>
    </row>
    <row r="60" spans="1:2" x14ac:dyDescent="0.2">
      <c r="A60" s="3">
        <v>37926</v>
      </c>
      <c r="B60" s="6">
        <v>0.93</v>
      </c>
    </row>
    <row r="61" spans="1:2" x14ac:dyDescent="0.2">
      <c r="A61" s="3">
        <v>37956</v>
      </c>
      <c r="B61" s="6">
        <v>0.9</v>
      </c>
    </row>
    <row r="62" spans="1:2" x14ac:dyDescent="0.2">
      <c r="A62" s="3">
        <v>37987</v>
      </c>
      <c r="B62" s="6">
        <v>0.88</v>
      </c>
    </row>
    <row r="63" spans="1:2" x14ac:dyDescent="0.2">
      <c r="A63" s="3">
        <v>38018</v>
      </c>
      <c r="B63" s="6">
        <v>0.93</v>
      </c>
    </row>
    <row r="64" spans="1:2" x14ac:dyDescent="0.2">
      <c r="A64" s="3">
        <v>38047</v>
      </c>
      <c r="B64" s="6">
        <v>0.94</v>
      </c>
    </row>
    <row r="65" spans="1:2" x14ac:dyDescent="0.2">
      <c r="A65" s="3">
        <v>38078</v>
      </c>
      <c r="B65" s="6">
        <v>0.94</v>
      </c>
    </row>
    <row r="66" spans="1:2" x14ac:dyDescent="0.2">
      <c r="A66" s="3">
        <v>38108</v>
      </c>
      <c r="B66" s="6">
        <v>1.02</v>
      </c>
    </row>
    <row r="67" spans="1:2" x14ac:dyDescent="0.2">
      <c r="A67" s="3">
        <v>38139</v>
      </c>
      <c r="B67" s="6">
        <v>1.27</v>
      </c>
    </row>
    <row r="68" spans="1:2" x14ac:dyDescent="0.2">
      <c r="A68" s="3">
        <v>38169</v>
      </c>
      <c r="B68" s="6">
        <v>1.33</v>
      </c>
    </row>
    <row r="69" spans="1:2" x14ac:dyDescent="0.2">
      <c r="A69" s="3">
        <v>38200</v>
      </c>
      <c r="B69" s="6">
        <v>1.48</v>
      </c>
    </row>
    <row r="70" spans="1:2" x14ac:dyDescent="0.2">
      <c r="A70" s="3">
        <v>38231</v>
      </c>
      <c r="B70" s="6">
        <v>1.65</v>
      </c>
    </row>
    <row r="71" spans="1:2" x14ac:dyDescent="0.2">
      <c r="A71" s="3">
        <v>38261</v>
      </c>
      <c r="B71" s="6">
        <v>1.76</v>
      </c>
    </row>
    <row r="72" spans="1:2" x14ac:dyDescent="0.2">
      <c r="A72" s="3">
        <v>38292</v>
      </c>
      <c r="B72" s="6">
        <v>2.0699999999999998</v>
      </c>
    </row>
    <row r="73" spans="1:2" x14ac:dyDescent="0.2">
      <c r="A73" s="3">
        <v>38322</v>
      </c>
      <c r="B73" s="6">
        <v>2.19</v>
      </c>
    </row>
    <row r="74" spans="1:2" x14ac:dyDescent="0.2">
      <c r="A74" s="3">
        <v>38353</v>
      </c>
      <c r="B74" s="6">
        <v>2.33</v>
      </c>
    </row>
    <row r="75" spans="1:2" x14ac:dyDescent="0.2">
      <c r="A75" s="3">
        <v>38384</v>
      </c>
      <c r="B75" s="6">
        <v>2.54</v>
      </c>
    </row>
    <row r="76" spans="1:2" x14ac:dyDescent="0.2">
      <c r="A76" s="3">
        <v>38412</v>
      </c>
      <c r="B76" s="6">
        <v>2.74</v>
      </c>
    </row>
    <row r="77" spans="1:2" x14ac:dyDescent="0.2">
      <c r="A77" s="3">
        <v>38443</v>
      </c>
      <c r="B77" s="6">
        <v>2.78</v>
      </c>
    </row>
    <row r="78" spans="1:2" x14ac:dyDescent="0.2">
      <c r="A78" s="3">
        <v>38473</v>
      </c>
      <c r="B78" s="6">
        <v>2.84</v>
      </c>
    </row>
    <row r="79" spans="1:2" x14ac:dyDescent="0.2">
      <c r="A79" s="3">
        <v>38504</v>
      </c>
      <c r="B79" s="6">
        <v>2.97</v>
      </c>
    </row>
    <row r="80" spans="1:2" x14ac:dyDescent="0.2">
      <c r="A80" s="3">
        <v>38534</v>
      </c>
      <c r="B80" s="6">
        <v>3.22</v>
      </c>
    </row>
    <row r="81" spans="1:2" x14ac:dyDescent="0.2">
      <c r="A81" s="3">
        <v>38565</v>
      </c>
      <c r="B81" s="6">
        <v>3.44</v>
      </c>
    </row>
    <row r="82" spans="1:2" x14ac:dyDescent="0.2">
      <c r="A82" s="3">
        <v>38596</v>
      </c>
      <c r="B82" s="6">
        <v>3.42</v>
      </c>
    </row>
    <row r="83" spans="1:2" x14ac:dyDescent="0.2">
      <c r="A83" s="3">
        <v>38626</v>
      </c>
      <c r="B83" s="6">
        <v>3.71</v>
      </c>
    </row>
    <row r="84" spans="1:2" x14ac:dyDescent="0.2">
      <c r="A84" s="3">
        <v>38657</v>
      </c>
      <c r="B84" s="6">
        <v>3.88</v>
      </c>
    </row>
    <row r="85" spans="1:2" x14ac:dyDescent="0.2">
      <c r="A85" s="3">
        <v>38687</v>
      </c>
      <c r="B85" s="6">
        <v>3.89</v>
      </c>
    </row>
    <row r="86" spans="1:2" x14ac:dyDescent="0.2">
      <c r="A86" s="3">
        <v>38718</v>
      </c>
      <c r="B86" s="6">
        <v>4.24</v>
      </c>
    </row>
    <row r="87" spans="1:2" x14ac:dyDescent="0.2">
      <c r="A87" s="3">
        <v>38749</v>
      </c>
      <c r="B87" s="6">
        <v>4.43</v>
      </c>
    </row>
    <row r="88" spans="1:2" x14ac:dyDescent="0.2">
      <c r="A88" s="3">
        <v>38777</v>
      </c>
      <c r="B88" s="6">
        <v>4.51</v>
      </c>
    </row>
    <row r="89" spans="1:2" x14ac:dyDescent="0.2">
      <c r="A89" s="3">
        <v>38808</v>
      </c>
      <c r="B89" s="6">
        <v>4.5999999999999996</v>
      </c>
    </row>
    <row r="90" spans="1:2" x14ac:dyDescent="0.2">
      <c r="A90" s="3">
        <v>38838</v>
      </c>
      <c r="B90" s="6">
        <v>4.72</v>
      </c>
    </row>
    <row r="91" spans="1:2" x14ac:dyDescent="0.2">
      <c r="A91" s="3">
        <v>38869</v>
      </c>
      <c r="B91" s="6">
        <v>4.79</v>
      </c>
    </row>
    <row r="92" spans="1:2" x14ac:dyDescent="0.2">
      <c r="A92" s="3">
        <v>38899</v>
      </c>
      <c r="B92" s="6">
        <v>4.95</v>
      </c>
    </row>
    <row r="93" spans="1:2" x14ac:dyDescent="0.2">
      <c r="A93" s="3">
        <v>38930</v>
      </c>
      <c r="B93" s="6">
        <v>4.96</v>
      </c>
    </row>
    <row r="94" spans="1:2" x14ac:dyDescent="0.2">
      <c r="A94" s="3">
        <v>38961</v>
      </c>
      <c r="B94" s="6">
        <v>4.8099999999999996</v>
      </c>
    </row>
    <row r="95" spans="1:2" x14ac:dyDescent="0.2">
      <c r="A95" s="3">
        <v>38991</v>
      </c>
      <c r="B95" s="6">
        <v>4.92</v>
      </c>
    </row>
    <row r="96" spans="1:2" x14ac:dyDescent="0.2">
      <c r="A96" s="3">
        <v>39022</v>
      </c>
      <c r="B96" s="6">
        <v>4.9400000000000004</v>
      </c>
    </row>
    <row r="97" spans="1:2" x14ac:dyDescent="0.2">
      <c r="A97" s="3">
        <v>39052</v>
      </c>
      <c r="B97" s="6">
        <v>4.8499999999999996</v>
      </c>
    </row>
    <row r="98" spans="1:2" x14ac:dyDescent="0.2">
      <c r="A98" s="3">
        <v>39083</v>
      </c>
      <c r="B98" s="6">
        <v>4.9800000000000004</v>
      </c>
    </row>
    <row r="99" spans="1:2" x14ac:dyDescent="0.2">
      <c r="A99" s="3">
        <v>39114</v>
      </c>
      <c r="B99" s="6">
        <v>5.03</v>
      </c>
    </row>
    <row r="100" spans="1:2" x14ac:dyDescent="0.2">
      <c r="A100" s="3">
        <v>39142</v>
      </c>
      <c r="B100" s="6">
        <v>4.9400000000000004</v>
      </c>
    </row>
    <row r="101" spans="1:2" x14ac:dyDescent="0.2">
      <c r="A101" s="3">
        <v>39173</v>
      </c>
      <c r="B101" s="6">
        <v>4.87</v>
      </c>
    </row>
    <row r="102" spans="1:2" x14ac:dyDescent="0.2">
      <c r="A102" s="3">
        <v>39203</v>
      </c>
      <c r="B102" s="6">
        <v>4.7300000000000004</v>
      </c>
    </row>
    <row r="103" spans="1:2" x14ac:dyDescent="0.2">
      <c r="A103" s="3">
        <v>39234</v>
      </c>
      <c r="B103" s="6">
        <v>4.6100000000000003</v>
      </c>
    </row>
    <row r="104" spans="1:2" x14ac:dyDescent="0.2">
      <c r="A104" s="3">
        <v>39264</v>
      </c>
      <c r="B104" s="6">
        <v>4.82</v>
      </c>
    </row>
    <row r="105" spans="1:2" x14ac:dyDescent="0.2">
      <c r="A105" s="3">
        <v>39295</v>
      </c>
      <c r="B105" s="6">
        <v>4.2</v>
      </c>
    </row>
    <row r="106" spans="1:2" x14ac:dyDescent="0.2">
      <c r="A106" s="3">
        <v>39326</v>
      </c>
      <c r="B106" s="6">
        <v>3.89</v>
      </c>
    </row>
    <row r="107" spans="1:2" x14ac:dyDescent="0.2">
      <c r="A107" s="3">
        <v>39356</v>
      </c>
      <c r="B107" s="6">
        <v>3.9</v>
      </c>
    </row>
    <row r="108" spans="1:2" x14ac:dyDescent="0.2">
      <c r="A108" s="3">
        <v>39387</v>
      </c>
      <c r="B108" s="6">
        <v>3.27</v>
      </c>
    </row>
    <row r="109" spans="1:2" x14ac:dyDescent="0.2">
      <c r="A109" s="3">
        <v>39417</v>
      </c>
      <c r="B109" s="6">
        <v>3</v>
      </c>
    </row>
    <row r="110" spans="1:2" x14ac:dyDescent="0.2">
      <c r="A110" s="3">
        <v>39448</v>
      </c>
      <c r="B110" s="6">
        <v>2.75</v>
      </c>
    </row>
    <row r="111" spans="1:2" x14ac:dyDescent="0.2">
      <c r="A111" s="3">
        <v>39479</v>
      </c>
      <c r="B111" s="6">
        <v>2.12</v>
      </c>
    </row>
    <row r="112" spans="1:2" x14ac:dyDescent="0.2">
      <c r="A112" s="3">
        <v>39508</v>
      </c>
      <c r="B112" s="6">
        <v>1.26</v>
      </c>
    </row>
    <row r="113" spans="1:2" x14ac:dyDescent="0.2">
      <c r="A113" s="3">
        <v>39539</v>
      </c>
      <c r="B113" s="6">
        <v>1.29</v>
      </c>
    </row>
    <row r="114" spans="1:2" x14ac:dyDescent="0.2">
      <c r="A114" s="3">
        <v>39569</v>
      </c>
      <c r="B114" s="6">
        <v>1.73</v>
      </c>
    </row>
    <row r="115" spans="1:2" x14ac:dyDescent="0.2">
      <c r="A115" s="3">
        <v>39600</v>
      </c>
      <c r="B115" s="6">
        <v>1.86</v>
      </c>
    </row>
    <row r="116" spans="1:2" x14ac:dyDescent="0.2">
      <c r="A116" s="3">
        <v>39630</v>
      </c>
      <c r="B116" s="6">
        <v>1.63</v>
      </c>
    </row>
    <row r="117" spans="1:2" x14ac:dyDescent="0.2">
      <c r="A117" s="3">
        <v>39661</v>
      </c>
      <c r="B117" s="6">
        <v>1.72</v>
      </c>
    </row>
    <row r="118" spans="1:2" x14ac:dyDescent="0.2">
      <c r="A118" s="3">
        <v>39692</v>
      </c>
      <c r="B118" s="6">
        <v>1.1299999999999999</v>
      </c>
    </row>
    <row r="119" spans="1:2" x14ac:dyDescent="0.2">
      <c r="A119" s="3">
        <v>39722</v>
      </c>
      <c r="B119" s="6">
        <v>0.67</v>
      </c>
    </row>
    <row r="120" spans="1:2" x14ac:dyDescent="0.2">
      <c r="A120" s="3">
        <v>39753</v>
      </c>
      <c r="B120" s="6">
        <v>0.19</v>
      </c>
    </row>
    <row r="121" spans="1:2" x14ac:dyDescent="0.2">
      <c r="A121" s="3">
        <v>39783</v>
      </c>
      <c r="B121" s="6">
        <v>0.03</v>
      </c>
    </row>
    <row r="122" spans="1:2" x14ac:dyDescent="0.2">
      <c r="A122" s="3">
        <v>39814</v>
      </c>
      <c r="B122" s="6">
        <v>0.13</v>
      </c>
    </row>
    <row r="123" spans="1:2" x14ac:dyDescent="0.2">
      <c r="A123" s="3">
        <v>39845</v>
      </c>
      <c r="B123" s="6">
        <v>0.3</v>
      </c>
    </row>
    <row r="124" spans="1:2" x14ac:dyDescent="0.2">
      <c r="A124" s="3">
        <v>39873</v>
      </c>
      <c r="B124" s="6">
        <v>0.21</v>
      </c>
    </row>
    <row r="125" spans="1:2" x14ac:dyDescent="0.2">
      <c r="A125" s="3">
        <v>39904</v>
      </c>
      <c r="B125" s="6">
        <v>0.16</v>
      </c>
    </row>
    <row r="126" spans="1:2" x14ac:dyDescent="0.2">
      <c r="A126" s="3">
        <v>39934</v>
      </c>
      <c r="B126" s="6">
        <v>0.18</v>
      </c>
    </row>
    <row r="127" spans="1:2" x14ac:dyDescent="0.2">
      <c r="A127" s="3">
        <v>39965</v>
      </c>
      <c r="B127" s="6">
        <v>0.18</v>
      </c>
    </row>
    <row r="128" spans="1:2" x14ac:dyDescent="0.2">
      <c r="A128" s="3">
        <v>39995</v>
      </c>
      <c r="B128" s="6">
        <v>0.18</v>
      </c>
    </row>
    <row r="129" spans="1:2" x14ac:dyDescent="0.2">
      <c r="A129" s="3">
        <v>40026</v>
      </c>
      <c r="B129" s="6">
        <v>0.17</v>
      </c>
    </row>
    <row r="130" spans="1:2" x14ac:dyDescent="0.2">
      <c r="A130" s="3">
        <v>40057</v>
      </c>
      <c r="B130" s="6">
        <v>0.12</v>
      </c>
    </row>
    <row r="131" spans="1:2" x14ac:dyDescent="0.2">
      <c r="A131" s="3">
        <v>40087</v>
      </c>
      <c r="B131" s="6">
        <v>7.0000000000000007E-2</v>
      </c>
    </row>
    <row r="132" spans="1:2" x14ac:dyDescent="0.2">
      <c r="A132" s="3">
        <v>40118</v>
      </c>
      <c r="B132" s="6">
        <v>0.05</v>
      </c>
    </row>
    <row r="133" spans="1:2" x14ac:dyDescent="0.2">
      <c r="A133" s="3">
        <v>40148</v>
      </c>
      <c r="B133" s="6">
        <v>0.05</v>
      </c>
    </row>
    <row r="134" spans="1:2" x14ac:dyDescent="0.2">
      <c r="A134" s="3">
        <v>40179</v>
      </c>
      <c r="B134" s="6">
        <v>0.06</v>
      </c>
    </row>
    <row r="135" spans="1:2" x14ac:dyDescent="0.2">
      <c r="A135" s="3">
        <v>40210</v>
      </c>
      <c r="B135" s="6">
        <v>0.11</v>
      </c>
    </row>
    <row r="136" spans="1:2" x14ac:dyDescent="0.2">
      <c r="A136" s="3">
        <v>40238</v>
      </c>
      <c r="B136" s="6">
        <v>0.15</v>
      </c>
    </row>
    <row r="137" spans="1:2" x14ac:dyDescent="0.2">
      <c r="A137" s="3">
        <v>40269</v>
      </c>
      <c r="B137" s="6">
        <v>0.16</v>
      </c>
    </row>
    <row r="138" spans="1:2" x14ac:dyDescent="0.2">
      <c r="A138" s="3">
        <v>40299</v>
      </c>
      <c r="B138" s="6">
        <v>0.16</v>
      </c>
    </row>
    <row r="139" spans="1:2" x14ac:dyDescent="0.2">
      <c r="A139" s="3">
        <v>40330</v>
      </c>
      <c r="B139" s="6">
        <v>0.12</v>
      </c>
    </row>
    <row r="140" spans="1:2" x14ac:dyDescent="0.2">
      <c r="A140" s="3">
        <v>40360</v>
      </c>
      <c r="B140" s="6">
        <v>0.16</v>
      </c>
    </row>
    <row r="141" spans="1:2" x14ac:dyDescent="0.2">
      <c r="A141" s="3">
        <v>40391</v>
      </c>
      <c r="B141" s="6">
        <v>0.16</v>
      </c>
    </row>
    <row r="142" spans="1:2" x14ac:dyDescent="0.2">
      <c r="A142" s="3">
        <v>40422</v>
      </c>
      <c r="B142" s="6">
        <v>0.15</v>
      </c>
    </row>
    <row r="143" spans="1:2" x14ac:dyDescent="0.2">
      <c r="A143" s="3">
        <v>40452</v>
      </c>
      <c r="B143" s="6">
        <v>0.13</v>
      </c>
    </row>
    <row r="144" spans="1:2" x14ac:dyDescent="0.2">
      <c r="A144" s="3">
        <v>40483</v>
      </c>
      <c r="B144" s="6">
        <v>0.14000000000000001</v>
      </c>
    </row>
    <row r="145" spans="1:2" x14ac:dyDescent="0.2">
      <c r="A145" s="3">
        <v>40513</v>
      </c>
      <c r="B145" s="6">
        <v>0.14000000000000001</v>
      </c>
    </row>
    <row r="146" spans="1:2" x14ac:dyDescent="0.2">
      <c r="A146" s="3">
        <v>40544</v>
      </c>
      <c r="B146" s="6">
        <v>0.15</v>
      </c>
    </row>
    <row r="147" spans="1:2" x14ac:dyDescent="0.2">
      <c r="A147" s="3">
        <v>40575</v>
      </c>
      <c r="B147" s="6">
        <v>0.13</v>
      </c>
    </row>
    <row r="148" spans="1:2" x14ac:dyDescent="0.2">
      <c r="A148" s="3">
        <v>40603</v>
      </c>
      <c r="B148" s="6">
        <v>0.1</v>
      </c>
    </row>
    <row r="149" spans="1:2" x14ac:dyDescent="0.2">
      <c r="A149" s="3">
        <v>40634</v>
      </c>
      <c r="B149" s="6">
        <v>0.06</v>
      </c>
    </row>
    <row r="150" spans="1:2" x14ac:dyDescent="0.2">
      <c r="A150" s="3">
        <v>40664</v>
      </c>
      <c r="B150" s="6">
        <v>0.04</v>
      </c>
    </row>
    <row r="151" spans="1:2" x14ac:dyDescent="0.2">
      <c r="A151" s="3">
        <v>40695</v>
      </c>
      <c r="B151" s="6">
        <v>0.04</v>
      </c>
    </row>
    <row r="152" spans="1:2" x14ac:dyDescent="0.2">
      <c r="A152" s="3">
        <v>40725</v>
      </c>
      <c r="B152" s="6">
        <v>0.04</v>
      </c>
    </row>
    <row r="153" spans="1:2" x14ac:dyDescent="0.2">
      <c r="A153" s="3">
        <v>40756</v>
      </c>
      <c r="B153" s="6">
        <v>0.02</v>
      </c>
    </row>
    <row r="154" spans="1:2" x14ac:dyDescent="0.2">
      <c r="A154" s="3">
        <v>40787</v>
      </c>
      <c r="B154" s="6">
        <v>0.01</v>
      </c>
    </row>
    <row r="155" spans="1:2" x14ac:dyDescent="0.2">
      <c r="A155" s="3">
        <v>40817</v>
      </c>
      <c r="B155" s="6">
        <v>0.02</v>
      </c>
    </row>
    <row r="156" spans="1:2" x14ac:dyDescent="0.2">
      <c r="A156" s="3">
        <v>40848</v>
      </c>
      <c r="B156" s="6">
        <v>0.01</v>
      </c>
    </row>
    <row r="157" spans="1:2" x14ac:dyDescent="0.2">
      <c r="A157" s="3">
        <v>40878</v>
      </c>
      <c r="B157" s="6">
        <v>0.01</v>
      </c>
    </row>
    <row r="158" spans="1:2" x14ac:dyDescent="0.2">
      <c r="A158" s="3">
        <v>40909</v>
      </c>
      <c r="B158" s="6">
        <v>0.03</v>
      </c>
    </row>
    <row r="159" spans="1:2" x14ac:dyDescent="0.2">
      <c r="A159" s="3">
        <v>40940</v>
      </c>
      <c r="B159" s="6">
        <v>0.09</v>
      </c>
    </row>
    <row r="160" spans="1:2" x14ac:dyDescent="0.2">
      <c r="A160" s="3">
        <v>40969</v>
      </c>
      <c r="B160" s="6">
        <v>0.08</v>
      </c>
    </row>
    <row r="161" spans="1:2" x14ac:dyDescent="0.2">
      <c r="A161" s="3">
        <v>41000</v>
      </c>
      <c r="B161" s="6">
        <v>0.08</v>
      </c>
    </row>
    <row r="162" spans="1:2" x14ac:dyDescent="0.2">
      <c r="A162" s="3">
        <v>41030</v>
      </c>
      <c r="B162" s="6">
        <v>0.09</v>
      </c>
    </row>
    <row r="163" spans="1:2" x14ac:dyDescent="0.2">
      <c r="A163" s="3">
        <v>41061</v>
      </c>
      <c r="B163" s="6">
        <v>0.09</v>
      </c>
    </row>
    <row r="164" spans="1:2" x14ac:dyDescent="0.2">
      <c r="A164" s="3">
        <v>41091</v>
      </c>
      <c r="B164" s="6">
        <v>0.1</v>
      </c>
    </row>
    <row r="165" spans="1:2" x14ac:dyDescent="0.2">
      <c r="A165" s="3">
        <v>41122</v>
      </c>
      <c r="B165" s="6">
        <v>0.1</v>
      </c>
    </row>
    <row r="166" spans="1:2" x14ac:dyDescent="0.2">
      <c r="A166" s="3">
        <v>41153</v>
      </c>
      <c r="B166" s="6">
        <v>0.11</v>
      </c>
    </row>
    <row r="167" spans="1:2" x14ac:dyDescent="0.2">
      <c r="A167" s="3">
        <v>41183</v>
      </c>
      <c r="B167" s="6">
        <v>0.1</v>
      </c>
    </row>
    <row r="168" spans="1:2" x14ac:dyDescent="0.2">
      <c r="A168" s="3">
        <v>41214</v>
      </c>
      <c r="B168" s="6">
        <v>0.09</v>
      </c>
    </row>
    <row r="169" spans="1:2" x14ac:dyDescent="0.2">
      <c r="A169" s="3">
        <v>41244</v>
      </c>
      <c r="B169" s="6">
        <v>7.0000000000000007E-2</v>
      </c>
    </row>
    <row r="170" spans="1:2" x14ac:dyDescent="0.2">
      <c r="A170" s="3">
        <v>41275</v>
      </c>
      <c r="B170" s="6">
        <v>7.0000000000000007E-2</v>
      </c>
    </row>
    <row r="171" spans="1:2" x14ac:dyDescent="0.2">
      <c r="A171" s="3">
        <v>41306</v>
      </c>
      <c r="B171" s="6">
        <v>0.1</v>
      </c>
    </row>
    <row r="172" spans="1:2" x14ac:dyDescent="0.2">
      <c r="A172" s="3">
        <v>41334</v>
      </c>
      <c r="B172" s="6">
        <v>0.09</v>
      </c>
    </row>
    <row r="173" spans="1:2" x14ac:dyDescent="0.2">
      <c r="A173" s="3">
        <v>41365</v>
      </c>
      <c r="B173" s="6">
        <v>0.06</v>
      </c>
    </row>
    <row r="174" spans="1:2" x14ac:dyDescent="0.2">
      <c r="A174" s="3">
        <v>41395</v>
      </c>
      <c r="B174" s="6">
        <v>0.04</v>
      </c>
    </row>
    <row r="175" spans="1:2" x14ac:dyDescent="0.2">
      <c r="A175" s="3">
        <v>41426</v>
      </c>
      <c r="B175" s="6">
        <v>0.05</v>
      </c>
    </row>
    <row r="176" spans="1:2" x14ac:dyDescent="0.2">
      <c r="A176" s="3">
        <v>41456</v>
      </c>
      <c r="B176" s="6">
        <v>0.04</v>
      </c>
    </row>
    <row r="177" spans="1:2" x14ac:dyDescent="0.2">
      <c r="A177" s="3">
        <v>41487</v>
      </c>
      <c r="B177" s="6">
        <v>0.04</v>
      </c>
    </row>
    <row r="178" spans="1:2" x14ac:dyDescent="0.2">
      <c r="A178" s="3">
        <v>41518</v>
      </c>
      <c r="B178" s="6">
        <v>0.02</v>
      </c>
    </row>
    <row r="179" spans="1:2" x14ac:dyDescent="0.2">
      <c r="A179" s="3">
        <v>41548</v>
      </c>
      <c r="B179" s="6">
        <v>0.05</v>
      </c>
    </row>
    <row r="180" spans="1:2" x14ac:dyDescent="0.2">
      <c r="A180" s="3">
        <v>41579</v>
      </c>
      <c r="B180" s="6">
        <v>7.0000000000000007E-2</v>
      </c>
    </row>
    <row r="181" spans="1:2" x14ac:dyDescent="0.2">
      <c r="A181" s="3">
        <v>41609</v>
      </c>
      <c r="B181" s="6">
        <v>7.0000000000000007E-2</v>
      </c>
    </row>
    <row r="182" spans="1:2" x14ac:dyDescent="0.2">
      <c r="A182" s="3">
        <v>41640</v>
      </c>
      <c r="B182" s="6">
        <v>0.04</v>
      </c>
    </row>
    <row r="183" spans="1:2" x14ac:dyDescent="0.2">
      <c r="A183" s="3">
        <v>41671</v>
      </c>
      <c r="B183" s="6">
        <v>0.05</v>
      </c>
    </row>
    <row r="184" spans="1:2" x14ac:dyDescent="0.2">
      <c r="A184" s="3">
        <v>41699</v>
      </c>
      <c r="B184" s="6">
        <v>0.05</v>
      </c>
    </row>
    <row r="185" spans="1:2" x14ac:dyDescent="0.2">
      <c r="A185" s="3">
        <v>41730</v>
      </c>
      <c r="B185" s="6">
        <v>0.03</v>
      </c>
    </row>
    <row r="186" spans="1:2" x14ac:dyDescent="0.2">
      <c r="A186" s="3">
        <v>41760</v>
      </c>
      <c r="B186" s="6">
        <v>0.03</v>
      </c>
    </row>
    <row r="187" spans="1:2" x14ac:dyDescent="0.2">
      <c r="A187" s="3">
        <v>41791</v>
      </c>
      <c r="B187" s="6">
        <v>0.04</v>
      </c>
    </row>
    <row r="188" spans="1:2" x14ac:dyDescent="0.2">
      <c r="A188" s="3">
        <v>41821</v>
      </c>
      <c r="B188" s="6">
        <v>0.03</v>
      </c>
    </row>
    <row r="189" spans="1:2" x14ac:dyDescent="0.2">
      <c r="A189" s="3">
        <v>41852</v>
      </c>
      <c r="B189" s="6">
        <v>0.03</v>
      </c>
    </row>
    <row r="190" spans="1:2" x14ac:dyDescent="0.2">
      <c r="A190" s="3">
        <v>41883</v>
      </c>
      <c r="B190" s="6">
        <v>0.02</v>
      </c>
    </row>
    <row r="191" spans="1:2" x14ac:dyDescent="0.2">
      <c r="A191" s="3">
        <v>41913</v>
      </c>
      <c r="B191" s="6">
        <v>0.02</v>
      </c>
    </row>
    <row r="192" spans="1:2" x14ac:dyDescent="0.2">
      <c r="A192" s="3">
        <v>41944</v>
      </c>
      <c r="B192" s="6">
        <v>0.02</v>
      </c>
    </row>
    <row r="193" spans="1:2" x14ac:dyDescent="0.2">
      <c r="A193" s="3">
        <v>41974</v>
      </c>
      <c r="B193" s="6">
        <v>0.03</v>
      </c>
    </row>
    <row r="194" spans="1:2" x14ac:dyDescent="0.2">
      <c r="A194" s="3">
        <v>42005</v>
      </c>
      <c r="B194" s="6">
        <v>0.03</v>
      </c>
    </row>
    <row r="195" spans="1:2" x14ac:dyDescent="0.2">
      <c r="A195" s="3">
        <v>42036</v>
      </c>
      <c r="B195" s="6">
        <v>0.02</v>
      </c>
    </row>
    <row r="196" spans="1:2" x14ac:dyDescent="0.2">
      <c r="A196" s="3">
        <v>42064</v>
      </c>
      <c r="B196" s="6">
        <v>0.03</v>
      </c>
    </row>
    <row r="197" spans="1:2" x14ac:dyDescent="0.2">
      <c r="A197" s="3">
        <v>42095</v>
      </c>
      <c r="B197" s="6">
        <v>0.02</v>
      </c>
    </row>
    <row r="198" spans="1:2" x14ac:dyDescent="0.2">
      <c r="A198" s="3">
        <v>42125</v>
      </c>
      <c r="B198" s="6">
        <v>0.02</v>
      </c>
    </row>
    <row r="199" spans="1:2" x14ac:dyDescent="0.2">
      <c r="A199" s="3">
        <v>42156</v>
      </c>
      <c r="B199" s="6">
        <v>0.02</v>
      </c>
    </row>
    <row r="200" spans="1:2" x14ac:dyDescent="0.2">
      <c r="A200" s="3">
        <v>42186</v>
      </c>
      <c r="B200" s="6">
        <v>0.03</v>
      </c>
    </row>
    <row r="201" spans="1:2" x14ac:dyDescent="0.2">
      <c r="A201" s="3">
        <v>42217</v>
      </c>
      <c r="B201" s="6">
        <v>7.0000000000000007E-2</v>
      </c>
    </row>
    <row r="202" spans="1:2" x14ac:dyDescent="0.2">
      <c r="A202" s="3">
        <v>42248</v>
      </c>
      <c r="B202" s="6">
        <v>0.02</v>
      </c>
    </row>
    <row r="203" spans="1:2" x14ac:dyDescent="0.2">
      <c r="A203" s="3">
        <v>42278</v>
      </c>
      <c r="B203" s="6">
        <v>0.02</v>
      </c>
    </row>
    <row r="204" spans="1:2" x14ac:dyDescent="0.2">
      <c r="A204" s="3">
        <v>42309</v>
      </c>
      <c r="B204" s="6">
        <v>0.12</v>
      </c>
    </row>
    <row r="205" spans="1:2" x14ac:dyDescent="0.2">
      <c r="A205" s="3">
        <v>42339</v>
      </c>
      <c r="B205" s="6">
        <v>0.23</v>
      </c>
    </row>
    <row r="206" spans="1:2" x14ac:dyDescent="0.2">
      <c r="A206" s="3">
        <v>42370</v>
      </c>
      <c r="B206" s="6">
        <v>0.26</v>
      </c>
    </row>
    <row r="207" spans="1:2" x14ac:dyDescent="0.2">
      <c r="A207" s="3">
        <v>42401</v>
      </c>
      <c r="B207" s="6">
        <v>0.31</v>
      </c>
    </row>
    <row r="208" spans="1:2" x14ac:dyDescent="0.2">
      <c r="A208" s="3">
        <v>42430</v>
      </c>
      <c r="B208" s="6">
        <v>0.28999999999999998</v>
      </c>
    </row>
    <row r="209" spans="1:2" x14ac:dyDescent="0.2">
      <c r="A209" s="3">
        <v>42461</v>
      </c>
      <c r="B209" s="6">
        <v>0.23</v>
      </c>
    </row>
    <row r="210" spans="1:2" x14ac:dyDescent="0.2">
      <c r="A210" s="3">
        <v>42491</v>
      </c>
      <c r="B210" s="6">
        <v>0.27</v>
      </c>
    </row>
    <row r="211" spans="1:2" x14ac:dyDescent="0.2">
      <c r="A211" s="3">
        <v>42522</v>
      </c>
      <c r="B211" s="6">
        <v>0.27</v>
      </c>
    </row>
    <row r="212" spans="1:2" x14ac:dyDescent="0.2">
      <c r="A212" s="3">
        <v>42552</v>
      </c>
      <c r="B212" s="6">
        <v>0.3</v>
      </c>
    </row>
    <row r="213" spans="1:2" x14ac:dyDescent="0.2">
      <c r="A213" s="3">
        <v>42583</v>
      </c>
      <c r="B213" s="6">
        <v>0.3</v>
      </c>
    </row>
    <row r="214" spans="1:2" x14ac:dyDescent="0.2">
      <c r="A214" s="3">
        <v>42614</v>
      </c>
      <c r="B214" s="6">
        <v>0.28999999999999998</v>
      </c>
    </row>
    <row r="215" spans="1:2" x14ac:dyDescent="0.2">
      <c r="A215" s="3">
        <v>42644</v>
      </c>
      <c r="B215" s="6">
        <v>0.33</v>
      </c>
    </row>
    <row r="216" spans="1:2" x14ac:dyDescent="0.2">
      <c r="A216" s="3">
        <v>42675</v>
      </c>
      <c r="B216" s="6">
        <v>0.45</v>
      </c>
    </row>
    <row r="217" spans="1:2" x14ac:dyDescent="0.2">
      <c r="A217" s="3">
        <v>42705</v>
      </c>
      <c r="B217" s="6">
        <v>0.51</v>
      </c>
    </row>
    <row r="218" spans="1:2" x14ac:dyDescent="0.2">
      <c r="A218" s="3">
        <v>42736</v>
      </c>
      <c r="B218" s="6">
        <v>0.51</v>
      </c>
    </row>
    <row r="219" spans="1:2" x14ac:dyDescent="0.2">
      <c r="A219" s="3">
        <v>42767</v>
      </c>
      <c r="B219" s="6">
        <v>0.52</v>
      </c>
    </row>
    <row r="220" spans="1:2" x14ac:dyDescent="0.2">
      <c r="A220" s="3">
        <v>42795</v>
      </c>
      <c r="B220" s="6">
        <v>0.74</v>
      </c>
    </row>
    <row r="221" spans="1:2" x14ac:dyDescent="0.2">
      <c r="A221" s="3">
        <v>42826</v>
      </c>
      <c r="B221" s="6">
        <v>0.8</v>
      </c>
    </row>
    <row r="222" spans="1:2" x14ac:dyDescent="0.2">
      <c r="A222" s="3">
        <v>42856</v>
      </c>
      <c r="B222" s="6">
        <v>0.89</v>
      </c>
    </row>
    <row r="223" spans="1:2" x14ac:dyDescent="0.2">
      <c r="A223" s="3">
        <v>42887</v>
      </c>
      <c r="B223" s="6">
        <v>0.98</v>
      </c>
    </row>
    <row r="224" spans="1:2" x14ac:dyDescent="0.2">
      <c r="A224" s="3">
        <v>42917</v>
      </c>
      <c r="B224" s="6">
        <v>1.07</v>
      </c>
    </row>
    <row r="225" spans="1:2" x14ac:dyDescent="0.2">
      <c r="A225" s="3">
        <v>42948</v>
      </c>
      <c r="B225" s="6">
        <v>1.01</v>
      </c>
    </row>
    <row r="226" spans="1:2" x14ac:dyDescent="0.2">
      <c r="A226" s="3">
        <v>42979</v>
      </c>
      <c r="B226" s="6">
        <v>1.03</v>
      </c>
    </row>
    <row r="227" spans="1:2" x14ac:dyDescent="0.2">
      <c r="A227" s="3">
        <v>43009</v>
      </c>
      <c r="B227" s="6">
        <v>1.07</v>
      </c>
    </row>
    <row r="228" spans="1:2" x14ac:dyDescent="0.2">
      <c r="A228" s="3">
        <v>43040</v>
      </c>
      <c r="B228" s="6">
        <v>1.23</v>
      </c>
    </row>
    <row r="229" spans="1:2" x14ac:dyDescent="0.2">
      <c r="A229" s="3">
        <v>43070</v>
      </c>
      <c r="B229" s="6">
        <v>1.32</v>
      </c>
    </row>
    <row r="230" spans="1:2" x14ac:dyDescent="0.2">
      <c r="A230" s="3">
        <v>43101</v>
      </c>
      <c r="B230" s="6">
        <v>1.41</v>
      </c>
    </row>
    <row r="231" spans="1:2" x14ac:dyDescent="0.2">
      <c r="A231" s="3">
        <v>43132</v>
      </c>
      <c r="B231" s="6">
        <v>1.57</v>
      </c>
    </row>
    <row r="232" spans="1:2" x14ac:dyDescent="0.2">
      <c r="A232" s="3">
        <v>43160</v>
      </c>
      <c r="B232" s="6">
        <v>1.7</v>
      </c>
    </row>
    <row r="233" spans="1:2" x14ac:dyDescent="0.2">
      <c r="A233" s="3">
        <v>43191</v>
      </c>
      <c r="B233" s="6">
        <v>1.76</v>
      </c>
    </row>
    <row r="234" spans="1:2" x14ac:dyDescent="0.2">
      <c r="A234" s="3">
        <v>43221</v>
      </c>
      <c r="B234" s="6">
        <v>1.86</v>
      </c>
    </row>
    <row r="235" spans="1:2" x14ac:dyDescent="0.2">
      <c r="A235" s="3">
        <v>43252</v>
      </c>
      <c r="B235" s="6">
        <v>1.9</v>
      </c>
    </row>
    <row r="236" spans="1:2" x14ac:dyDescent="0.2">
      <c r="A236" s="3">
        <v>43282</v>
      </c>
      <c r="B236" s="6">
        <v>1.96</v>
      </c>
    </row>
    <row r="237" spans="1:2" x14ac:dyDescent="0.2">
      <c r="A237" s="3">
        <v>43313</v>
      </c>
      <c r="B237" s="6">
        <v>2.0299999999999998</v>
      </c>
    </row>
    <row r="238" spans="1:2" x14ac:dyDescent="0.2">
      <c r="A238" s="3">
        <v>43344</v>
      </c>
      <c r="B238" s="6">
        <v>2.13</v>
      </c>
    </row>
    <row r="239" spans="1:2" x14ac:dyDescent="0.2">
      <c r="A239" s="3">
        <v>43374</v>
      </c>
      <c r="B239" s="6">
        <v>2.25</v>
      </c>
    </row>
    <row r="240" spans="1:2" x14ac:dyDescent="0.2">
      <c r="A240" s="3">
        <v>43405</v>
      </c>
      <c r="B240" s="6">
        <v>2.33</v>
      </c>
    </row>
    <row r="241" spans="1:2" x14ac:dyDescent="0.2">
      <c r="A241" s="3">
        <v>43435</v>
      </c>
      <c r="B241" s="6">
        <v>2.37</v>
      </c>
    </row>
    <row r="242" spans="1:2" x14ac:dyDescent="0.2">
      <c r="A242" s="3">
        <v>43466</v>
      </c>
      <c r="B242" s="6">
        <v>2.37</v>
      </c>
    </row>
    <row r="243" spans="1:2" x14ac:dyDescent="0.2">
      <c r="A243" s="3">
        <v>43497</v>
      </c>
      <c r="B243" s="6">
        <v>2.39</v>
      </c>
    </row>
    <row r="244" spans="1:2" x14ac:dyDescent="0.2">
      <c r="A244" s="3">
        <v>43525</v>
      </c>
      <c r="B244" s="6">
        <v>2.4</v>
      </c>
    </row>
    <row r="245" spans="1:2" x14ac:dyDescent="0.2">
      <c r="A245" s="3">
        <v>43556</v>
      </c>
      <c r="B245" s="6">
        <v>2.38</v>
      </c>
    </row>
    <row r="246" spans="1:2" x14ac:dyDescent="0.2">
      <c r="A246" s="3">
        <v>43586</v>
      </c>
      <c r="B246" s="6">
        <v>2.35</v>
      </c>
    </row>
    <row r="247" spans="1:2" x14ac:dyDescent="0.2">
      <c r="A247" s="3">
        <v>43617</v>
      </c>
      <c r="B247" s="6">
        <v>2.17</v>
      </c>
    </row>
    <row r="248" spans="1:2" x14ac:dyDescent="0.2">
      <c r="A248" s="3">
        <v>43647</v>
      </c>
      <c r="B248" s="6">
        <v>2.1</v>
      </c>
    </row>
    <row r="249" spans="1:2" x14ac:dyDescent="0.2">
      <c r="A249" s="3">
        <v>43678</v>
      </c>
      <c r="B249" s="6">
        <v>1.95</v>
      </c>
    </row>
    <row r="250" spans="1:2" x14ac:dyDescent="0.2">
      <c r="A250" s="3">
        <v>43709</v>
      </c>
      <c r="B250" s="6">
        <v>1.89</v>
      </c>
    </row>
    <row r="251" spans="1:2" x14ac:dyDescent="0.2">
      <c r="A251" s="3">
        <v>43739</v>
      </c>
      <c r="B251" s="6">
        <v>1.65</v>
      </c>
    </row>
    <row r="252" spans="1:2" x14ac:dyDescent="0.2">
      <c r="A252" s="3">
        <v>43770</v>
      </c>
      <c r="B252" s="6">
        <v>1.54</v>
      </c>
    </row>
    <row r="253" spans="1:2" x14ac:dyDescent="0.2">
      <c r="A253" s="3">
        <v>43800</v>
      </c>
      <c r="B253" s="6">
        <v>1.54</v>
      </c>
    </row>
    <row r="254" spans="1:2" x14ac:dyDescent="0.2">
      <c r="A254" s="3">
        <v>43831</v>
      </c>
      <c r="B254" s="6">
        <v>1.52</v>
      </c>
    </row>
    <row r="255" spans="1:2" x14ac:dyDescent="0.2">
      <c r="A255" s="3">
        <v>43862</v>
      </c>
      <c r="B255" s="6">
        <v>1.52</v>
      </c>
    </row>
    <row r="256" spans="1:2" x14ac:dyDescent="0.2">
      <c r="A256" s="3">
        <v>43891</v>
      </c>
      <c r="B256" s="6">
        <v>0.28999999999999998</v>
      </c>
    </row>
    <row r="257" spans="1:2" x14ac:dyDescent="0.2">
      <c r="A257" s="3">
        <v>43922</v>
      </c>
      <c r="B257" s="6">
        <v>0.14000000000000001</v>
      </c>
    </row>
    <row r="258" spans="1:2" x14ac:dyDescent="0.2">
      <c r="A258" s="3">
        <v>43952</v>
      </c>
      <c r="B258" s="6">
        <v>0.13</v>
      </c>
    </row>
    <row r="259" spans="1:2" x14ac:dyDescent="0.2">
      <c r="A259" s="3">
        <v>43983</v>
      </c>
      <c r="B259" s="6">
        <v>0.16</v>
      </c>
    </row>
    <row r="260" spans="1:2" x14ac:dyDescent="0.2">
      <c r="A260" s="3">
        <v>44013</v>
      </c>
      <c r="B260" s="6">
        <v>0.13</v>
      </c>
    </row>
    <row r="261" spans="1:2" x14ac:dyDescent="0.2">
      <c r="A261" s="3">
        <v>44044</v>
      </c>
      <c r="B261" s="6">
        <v>0.1</v>
      </c>
    </row>
    <row r="262" spans="1:2" x14ac:dyDescent="0.2">
      <c r="A262" s="3">
        <v>44075</v>
      </c>
      <c r="B262" s="6">
        <v>0.11</v>
      </c>
    </row>
    <row r="263" spans="1:2" x14ac:dyDescent="0.2">
      <c r="A263" s="3">
        <v>44105</v>
      </c>
      <c r="B263" s="6">
        <v>0.1</v>
      </c>
    </row>
    <row r="264" spans="1:2" x14ac:dyDescent="0.2">
      <c r="A264" s="3">
        <v>44136</v>
      </c>
      <c r="B264" s="6">
        <v>0.09</v>
      </c>
    </row>
    <row r="265" spans="1:2" x14ac:dyDescent="0.2">
      <c r="A265" s="3">
        <v>44166</v>
      </c>
      <c r="B265" s="6">
        <v>0.09</v>
      </c>
    </row>
    <row r="266" spans="1:2" x14ac:dyDescent="0.2">
      <c r="A266" s="3">
        <v>44197</v>
      </c>
      <c r="B266" s="6">
        <v>0.08</v>
      </c>
    </row>
    <row r="267" spans="1:2" x14ac:dyDescent="0.2">
      <c r="A267" s="3">
        <v>44228</v>
      </c>
      <c r="B267" s="6">
        <v>0.04</v>
      </c>
    </row>
    <row r="268" spans="1:2" x14ac:dyDescent="0.2">
      <c r="A268" s="3">
        <v>44256</v>
      </c>
      <c r="B268" s="6">
        <v>0.03</v>
      </c>
    </row>
    <row r="269" spans="1:2" x14ac:dyDescent="0.2">
      <c r="A269" s="3">
        <v>44287</v>
      </c>
      <c r="B269" s="6">
        <v>0.02</v>
      </c>
    </row>
    <row r="270" spans="1:2" x14ac:dyDescent="0.2">
      <c r="A270" s="3">
        <v>44317</v>
      </c>
      <c r="B270" s="6">
        <v>0.02</v>
      </c>
    </row>
    <row r="271" spans="1:2" x14ac:dyDescent="0.2">
      <c r="A271" s="3">
        <v>44348</v>
      </c>
      <c r="B271" s="6">
        <v>0.04</v>
      </c>
    </row>
    <row r="272" spans="1:2" x14ac:dyDescent="0.2">
      <c r="A272" s="3">
        <v>44378</v>
      </c>
      <c r="B272" s="6">
        <v>0.05</v>
      </c>
    </row>
    <row r="273" spans="1:2" x14ac:dyDescent="0.2">
      <c r="A273" s="3">
        <v>44409</v>
      </c>
      <c r="B273" s="6">
        <v>0.05</v>
      </c>
    </row>
    <row r="274" spans="1:2" x14ac:dyDescent="0.2">
      <c r="A274" s="3">
        <v>44440</v>
      </c>
      <c r="B274" s="6">
        <v>0.04</v>
      </c>
    </row>
    <row r="275" spans="1:2" x14ac:dyDescent="0.2">
      <c r="A275" s="3">
        <v>44470</v>
      </c>
      <c r="B275" s="6">
        <v>0.05</v>
      </c>
    </row>
    <row r="276" spans="1:2" x14ac:dyDescent="0.2">
      <c r="A276" s="3">
        <v>44501</v>
      </c>
      <c r="B276" s="6">
        <v>0.05</v>
      </c>
    </row>
    <row r="277" spans="1:2" x14ac:dyDescent="0.2">
      <c r="A277" s="3">
        <v>44531</v>
      </c>
      <c r="B277" s="6">
        <v>0.06</v>
      </c>
    </row>
    <row r="278" spans="1:2" x14ac:dyDescent="0.2">
      <c r="A278" s="3">
        <v>44562</v>
      </c>
      <c r="B278" s="6">
        <v>0.15</v>
      </c>
    </row>
    <row r="279" spans="1:2" x14ac:dyDescent="0.2">
      <c r="A279" s="3">
        <v>44593</v>
      </c>
      <c r="B279" s="6">
        <v>0.33</v>
      </c>
    </row>
    <row r="280" spans="1:2" x14ac:dyDescent="0.2">
      <c r="A280" s="3">
        <v>44621</v>
      </c>
      <c r="B280" s="6">
        <v>0.44</v>
      </c>
    </row>
    <row r="281" spans="1:2" x14ac:dyDescent="0.2">
      <c r="A281" s="3">
        <v>44652</v>
      </c>
      <c r="B281" s="6">
        <v>0.76</v>
      </c>
    </row>
    <row r="282" spans="1:2" x14ac:dyDescent="0.2">
      <c r="A282" s="3">
        <v>44682</v>
      </c>
      <c r="B282" s="6">
        <v>0.98</v>
      </c>
    </row>
    <row r="283" spans="1:2" x14ac:dyDescent="0.2">
      <c r="A283" s="3">
        <v>44713</v>
      </c>
      <c r="B283" s="6">
        <v>1.49</v>
      </c>
    </row>
    <row r="284" spans="1:2" x14ac:dyDescent="0.2">
      <c r="A284" s="3">
        <v>44743</v>
      </c>
      <c r="B284" s="6">
        <v>2.23</v>
      </c>
    </row>
    <row r="285" spans="1:2" x14ac:dyDescent="0.2">
      <c r="A285" s="3">
        <v>44774</v>
      </c>
      <c r="B285" s="6">
        <v>2.63</v>
      </c>
    </row>
    <row r="286" spans="1:2" x14ac:dyDescent="0.2">
      <c r="A286" s="3">
        <v>44805</v>
      </c>
      <c r="B286" s="6">
        <v>3.13</v>
      </c>
    </row>
    <row r="287" spans="1:2" x14ac:dyDescent="0.2">
      <c r="A287" s="3">
        <v>44835</v>
      </c>
      <c r="B287" s="6">
        <v>3.72</v>
      </c>
    </row>
    <row r="288" spans="1:2" x14ac:dyDescent="0.2">
      <c r="A288" s="3">
        <v>44866</v>
      </c>
      <c r="B288" s="6">
        <v>4.1500000000000004</v>
      </c>
    </row>
    <row r="289" spans="1:2" x14ac:dyDescent="0.2">
      <c r="A289" s="3">
        <v>44896</v>
      </c>
      <c r="B289" s="6">
        <v>4.25</v>
      </c>
    </row>
    <row r="290" spans="1:2" x14ac:dyDescent="0.2">
      <c r="A290" s="3">
        <v>44927</v>
      </c>
      <c r="B290" s="6">
        <v>4.54</v>
      </c>
    </row>
    <row r="291" spans="1:2" x14ac:dyDescent="0.2">
      <c r="A291" s="3">
        <v>44958</v>
      </c>
      <c r="B291" s="6">
        <v>4.6500000000000004</v>
      </c>
    </row>
    <row r="292" spans="1:2" x14ac:dyDescent="0.2">
      <c r="A292" s="3">
        <v>44986</v>
      </c>
      <c r="B292" s="6">
        <v>4.6900000000000004</v>
      </c>
    </row>
    <row r="293" spans="1:2" x14ac:dyDescent="0.2">
      <c r="A293" s="3">
        <v>45017</v>
      </c>
      <c r="B293" s="6">
        <v>4.92</v>
      </c>
    </row>
    <row r="294" spans="1:2" x14ac:dyDescent="0.2">
      <c r="A294" s="3">
        <v>45047</v>
      </c>
      <c r="B294" s="6">
        <v>5.14</v>
      </c>
    </row>
    <row r="295" spans="1:2" x14ac:dyDescent="0.2">
      <c r="A295" s="3">
        <v>45078</v>
      </c>
      <c r="B295" s="6">
        <v>5.16</v>
      </c>
    </row>
    <row r="296" spans="1:2" x14ac:dyDescent="0.2">
      <c r="A296" s="3">
        <v>45108</v>
      </c>
      <c r="B296" s="6">
        <v>5.25</v>
      </c>
    </row>
    <row r="297" spans="1:2" x14ac:dyDescent="0.2">
      <c r="A297" s="3">
        <v>45139</v>
      </c>
      <c r="B297" s="6">
        <v>5.3</v>
      </c>
    </row>
    <row r="298" spans="1:2" x14ac:dyDescent="0.2">
      <c r="A298" s="3">
        <v>45170</v>
      </c>
      <c r="B298" s="6">
        <v>5.32</v>
      </c>
    </row>
    <row r="299" spans="1:2" x14ac:dyDescent="0.2">
      <c r="A299" s="3">
        <v>45200</v>
      </c>
      <c r="B299" s="6">
        <v>5.34</v>
      </c>
    </row>
    <row r="300" spans="1:2" x14ac:dyDescent="0.2">
      <c r="A300" s="3">
        <v>45231</v>
      </c>
      <c r="B300" s="6">
        <v>5.27</v>
      </c>
    </row>
    <row r="301" spans="1:2" x14ac:dyDescent="0.2">
      <c r="A301" s="3">
        <v>45261</v>
      </c>
      <c r="B301" s="6">
        <v>5.24</v>
      </c>
    </row>
    <row r="302" spans="1:2" x14ac:dyDescent="0.2">
      <c r="A302" s="3">
        <v>45292</v>
      </c>
      <c r="B302" s="6">
        <v>5.22</v>
      </c>
    </row>
    <row r="303" spans="1:2" x14ac:dyDescent="0.2">
      <c r="A303" s="3">
        <v>45323</v>
      </c>
      <c r="B303" s="6">
        <v>5.24</v>
      </c>
    </row>
    <row r="304" spans="1:2" x14ac:dyDescent="0.2">
      <c r="A304" s="3">
        <v>45352</v>
      </c>
      <c r="B304" s="6">
        <v>5.24</v>
      </c>
    </row>
    <row r="305" spans="1:2" x14ac:dyDescent="0.2">
      <c r="A305" s="3">
        <v>45383</v>
      </c>
      <c r="B305" s="6">
        <v>5.24</v>
      </c>
    </row>
    <row r="306" spans="1:2" x14ac:dyDescent="0.2">
      <c r="A306" s="3">
        <v>45413</v>
      </c>
      <c r="B306" s="6">
        <v>5.25</v>
      </c>
    </row>
    <row r="307" spans="1:2" x14ac:dyDescent="0.2">
      <c r="A307" s="3">
        <v>45444</v>
      </c>
      <c r="B307" s="6">
        <v>5.24</v>
      </c>
    </row>
    <row r="308" spans="1:2" x14ac:dyDescent="0.2">
      <c r="A308" s="3">
        <v>45474</v>
      </c>
      <c r="B308" s="6">
        <v>5.2</v>
      </c>
    </row>
    <row r="309" spans="1:2" x14ac:dyDescent="0.2">
      <c r="A309" s="3">
        <v>45505</v>
      </c>
      <c r="B309" s="6">
        <v>5.05</v>
      </c>
    </row>
    <row r="310" spans="1:2" x14ac:dyDescent="0.2">
      <c r="A310" s="3">
        <v>45536</v>
      </c>
      <c r="B310" s="6">
        <v>4.72</v>
      </c>
    </row>
    <row r="311" spans="1:2" x14ac:dyDescent="0.2">
      <c r="A311" s="3">
        <v>45566</v>
      </c>
      <c r="B311" s="6">
        <v>4.51</v>
      </c>
    </row>
    <row r="312" spans="1:2" x14ac:dyDescent="0.2">
      <c r="A312" s="3">
        <v>45597</v>
      </c>
      <c r="B312" s="6">
        <v>4.42</v>
      </c>
    </row>
    <row r="313" spans="1:2" x14ac:dyDescent="0.2">
      <c r="A313" s="3">
        <v>45627</v>
      </c>
      <c r="B313" s="6">
        <v>4.2699999999999996</v>
      </c>
    </row>
    <row r="314" spans="1:2" x14ac:dyDescent="0.2">
      <c r="A314" s="3">
        <v>45658</v>
      </c>
      <c r="B314" s="6">
        <v>4.21</v>
      </c>
    </row>
    <row r="315" spans="1:2" x14ac:dyDescent="0.2">
      <c r="A315" s="3">
        <v>45689</v>
      </c>
      <c r="B315" s="6">
        <v>4.22</v>
      </c>
    </row>
    <row r="316" spans="1:2" x14ac:dyDescent="0.2">
      <c r="A316" s="3">
        <v>45717</v>
      </c>
      <c r="B316" s="6">
        <v>4.2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1070-148E-3842-984F-91378031A2B1}">
  <dimension ref="A1:B317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16.5" bestFit="1" customWidth="1"/>
    <col min="2" max="2" width="5" style="6" bestFit="1" customWidth="1"/>
  </cols>
  <sheetData>
    <row r="1" spans="1:2" x14ac:dyDescent="0.2">
      <c r="A1" s="4" t="s">
        <v>5</v>
      </c>
      <c r="B1" s="4" t="s">
        <v>17</v>
      </c>
    </row>
    <row r="2" spans="1:2" x14ac:dyDescent="0.2">
      <c r="A2" s="3">
        <v>36161</v>
      </c>
      <c r="B2" s="6">
        <v>4.79</v>
      </c>
    </row>
    <row r="3" spans="1:2" x14ac:dyDescent="0.2">
      <c r="A3" s="3">
        <v>36192</v>
      </c>
      <c r="B3" s="6">
        <v>4.84</v>
      </c>
    </row>
    <row r="4" spans="1:2" x14ac:dyDescent="0.2">
      <c r="A4" s="3">
        <v>36220</v>
      </c>
      <c r="B4" s="6">
        <v>4.9800000000000004</v>
      </c>
    </row>
    <row r="5" spans="1:2" x14ac:dyDescent="0.2">
      <c r="A5" s="3">
        <v>36251</v>
      </c>
      <c r="B5" s="6">
        <v>5.03</v>
      </c>
    </row>
    <row r="6" spans="1:2" x14ac:dyDescent="0.2">
      <c r="A6" s="3">
        <v>36281</v>
      </c>
      <c r="B6" s="6">
        <v>4.6100000000000003</v>
      </c>
    </row>
    <row r="7" spans="1:2" x14ac:dyDescent="0.2">
      <c r="A7" s="3">
        <v>36312</v>
      </c>
      <c r="B7" s="6">
        <v>5.12</v>
      </c>
    </row>
    <row r="8" spans="1:2" x14ac:dyDescent="0.2">
      <c r="A8" s="3">
        <v>36342</v>
      </c>
      <c r="B8" s="6">
        <v>5.07</v>
      </c>
    </row>
    <row r="9" spans="1:2" x14ac:dyDescent="0.2">
      <c r="A9" s="3">
        <v>36373</v>
      </c>
      <c r="B9" s="6">
        <v>5.57</v>
      </c>
    </row>
    <row r="10" spans="1:2" x14ac:dyDescent="0.2">
      <c r="A10" s="3">
        <v>36404</v>
      </c>
      <c r="B10" s="6">
        <v>5.51</v>
      </c>
    </row>
    <row r="11" spans="1:2" x14ac:dyDescent="0.2">
      <c r="A11" s="3">
        <v>36434</v>
      </c>
      <c r="B11" s="6">
        <v>5.27</v>
      </c>
    </row>
    <row r="12" spans="1:2" x14ac:dyDescent="0.2">
      <c r="A12" s="3">
        <v>36465</v>
      </c>
      <c r="B12" s="6">
        <v>5.63</v>
      </c>
    </row>
    <row r="13" spans="1:2" x14ac:dyDescent="0.2">
      <c r="A13" s="3">
        <v>36495</v>
      </c>
      <c r="B13" s="6">
        <v>3.99</v>
      </c>
    </row>
    <row r="14" spans="1:2" x14ac:dyDescent="0.2">
      <c r="A14" s="3">
        <v>36526</v>
      </c>
      <c r="B14" s="6">
        <v>5.87</v>
      </c>
    </row>
    <row r="15" spans="1:2" x14ac:dyDescent="0.2">
      <c r="A15" s="3">
        <v>36557</v>
      </c>
      <c r="B15" s="6">
        <v>5.85</v>
      </c>
    </row>
    <row r="16" spans="1:2" x14ac:dyDescent="0.2">
      <c r="A16" s="3">
        <v>36586</v>
      </c>
      <c r="B16" s="6">
        <v>6.17</v>
      </c>
    </row>
    <row r="17" spans="1:2" x14ac:dyDescent="0.2">
      <c r="A17" s="3">
        <v>36617</v>
      </c>
      <c r="B17" s="6">
        <v>6.06</v>
      </c>
    </row>
    <row r="18" spans="1:2" x14ac:dyDescent="0.2">
      <c r="A18" s="3">
        <v>36647</v>
      </c>
      <c r="B18" s="6">
        <v>6.83</v>
      </c>
    </row>
    <row r="19" spans="1:2" x14ac:dyDescent="0.2">
      <c r="A19" s="3">
        <v>36678</v>
      </c>
      <c r="B19" s="6">
        <v>6.86</v>
      </c>
    </row>
    <row r="20" spans="1:2" x14ac:dyDescent="0.2">
      <c r="A20" s="3">
        <v>36708</v>
      </c>
      <c r="B20" s="6">
        <v>6.64</v>
      </c>
    </row>
    <row r="21" spans="1:2" x14ac:dyDescent="0.2">
      <c r="A21" s="3">
        <v>36739</v>
      </c>
      <c r="B21" s="6">
        <v>6.65</v>
      </c>
    </row>
    <row r="22" spans="1:2" x14ac:dyDescent="0.2">
      <c r="A22" s="3">
        <v>36770</v>
      </c>
      <c r="B22" s="6">
        <v>6.6</v>
      </c>
    </row>
    <row r="23" spans="1:2" x14ac:dyDescent="0.2">
      <c r="A23" s="3">
        <v>36800</v>
      </c>
      <c r="B23" s="6">
        <v>6.59</v>
      </c>
    </row>
    <row r="24" spans="1:2" x14ac:dyDescent="0.2">
      <c r="A24" s="3">
        <v>36831</v>
      </c>
      <c r="B24" s="6">
        <v>6.62</v>
      </c>
    </row>
    <row r="25" spans="1:2" x14ac:dyDescent="0.2">
      <c r="A25" s="3">
        <v>36861</v>
      </c>
      <c r="B25" s="6">
        <v>5.41</v>
      </c>
    </row>
    <row r="26" spans="1:2" x14ac:dyDescent="0.2">
      <c r="A26" s="3">
        <v>36892</v>
      </c>
      <c r="B26" s="6">
        <v>5.74</v>
      </c>
    </row>
    <row r="27" spans="1:2" x14ac:dyDescent="0.2">
      <c r="A27" s="3">
        <v>36923</v>
      </c>
      <c r="B27" s="6">
        <v>5.59</v>
      </c>
    </row>
    <row r="28" spans="1:2" x14ac:dyDescent="0.2">
      <c r="A28" s="3">
        <v>36951</v>
      </c>
      <c r="B28" s="6">
        <v>5.29</v>
      </c>
    </row>
    <row r="29" spans="1:2" x14ac:dyDescent="0.2">
      <c r="A29" s="3">
        <v>36982</v>
      </c>
      <c r="B29" s="6">
        <v>4.67</v>
      </c>
    </row>
    <row r="30" spans="1:2" x14ac:dyDescent="0.2">
      <c r="A30" s="3">
        <v>37012</v>
      </c>
      <c r="B30" s="6">
        <v>4.24</v>
      </c>
    </row>
    <row r="31" spans="1:2" x14ac:dyDescent="0.2">
      <c r="A31" s="3">
        <v>37043</v>
      </c>
      <c r="B31" s="6">
        <v>3.95</v>
      </c>
    </row>
    <row r="32" spans="1:2" x14ac:dyDescent="0.2">
      <c r="A32" s="3">
        <v>37073</v>
      </c>
      <c r="B32" s="6">
        <v>3.82</v>
      </c>
    </row>
    <row r="33" spans="1:2" x14ac:dyDescent="0.2">
      <c r="A33" s="3">
        <v>37104</v>
      </c>
      <c r="B33" s="6">
        <v>3.66</v>
      </c>
    </row>
    <row r="34" spans="1:2" x14ac:dyDescent="0.2">
      <c r="A34" s="3">
        <v>37135</v>
      </c>
      <c r="B34" s="6">
        <v>2.75</v>
      </c>
    </row>
    <row r="35" spans="1:2" x14ac:dyDescent="0.2">
      <c r="A35" s="3">
        <v>37165</v>
      </c>
      <c r="B35" s="6">
        <v>2.66</v>
      </c>
    </row>
    <row r="36" spans="1:2" x14ac:dyDescent="0.2">
      <c r="A36" s="3">
        <v>37196</v>
      </c>
      <c r="B36" s="6">
        <v>2.06</v>
      </c>
    </row>
    <row r="37" spans="1:2" x14ac:dyDescent="0.2">
      <c r="A37" s="3">
        <v>37226</v>
      </c>
      <c r="B37" s="6">
        <v>1.52</v>
      </c>
    </row>
    <row r="38" spans="1:2" x14ac:dyDescent="0.2">
      <c r="A38" s="3">
        <v>37257</v>
      </c>
      <c r="B38" s="6">
        <v>1.85</v>
      </c>
    </row>
    <row r="39" spans="1:2" x14ac:dyDescent="0.2">
      <c r="A39" s="3">
        <v>37288</v>
      </c>
      <c r="B39" s="6">
        <v>1.83</v>
      </c>
    </row>
    <row r="40" spans="1:2" x14ac:dyDescent="0.2">
      <c r="A40" s="3">
        <v>37316</v>
      </c>
      <c r="B40" s="6">
        <v>1.74</v>
      </c>
    </row>
    <row r="41" spans="1:2" x14ac:dyDescent="0.2">
      <c r="A41" s="3">
        <v>37347</v>
      </c>
      <c r="B41" s="6">
        <v>1.82</v>
      </c>
    </row>
    <row r="42" spans="1:2" x14ac:dyDescent="0.2">
      <c r="A42" s="3">
        <v>37377</v>
      </c>
      <c r="B42" s="6">
        <v>1.79</v>
      </c>
    </row>
    <row r="43" spans="1:2" x14ac:dyDescent="0.2">
      <c r="A43" s="3">
        <v>37408</v>
      </c>
      <c r="B43" s="6">
        <v>1.73</v>
      </c>
    </row>
    <row r="44" spans="1:2" x14ac:dyDescent="0.2">
      <c r="A44" s="3">
        <v>37438</v>
      </c>
      <c r="B44" s="6">
        <v>1.76</v>
      </c>
    </row>
    <row r="45" spans="1:2" x14ac:dyDescent="0.2">
      <c r="A45" s="3">
        <v>37469</v>
      </c>
      <c r="B45" s="6">
        <v>1.81</v>
      </c>
    </row>
    <row r="46" spans="1:2" x14ac:dyDescent="0.2">
      <c r="A46" s="3">
        <v>37500</v>
      </c>
      <c r="B46" s="6">
        <v>1.85</v>
      </c>
    </row>
    <row r="47" spans="1:2" x14ac:dyDescent="0.2">
      <c r="A47" s="3">
        <v>37530</v>
      </c>
      <c r="B47" s="6">
        <v>1.82</v>
      </c>
    </row>
    <row r="48" spans="1:2" x14ac:dyDescent="0.2">
      <c r="A48" s="3">
        <v>37561</v>
      </c>
      <c r="B48" s="6">
        <v>1.23</v>
      </c>
    </row>
    <row r="49" spans="1:2" x14ac:dyDescent="0.2">
      <c r="A49" s="3">
        <v>37591</v>
      </c>
      <c r="B49" s="6">
        <v>1.1599999999999999</v>
      </c>
    </row>
    <row r="50" spans="1:2" x14ac:dyDescent="0.2">
      <c r="A50" s="3">
        <v>37622</v>
      </c>
      <c r="B50" s="6">
        <v>1.33</v>
      </c>
    </row>
    <row r="51" spans="1:2" x14ac:dyDescent="0.2">
      <c r="A51" s="3">
        <v>37653</v>
      </c>
      <c r="B51" s="6">
        <v>1.33</v>
      </c>
    </row>
    <row r="52" spans="1:2" x14ac:dyDescent="0.2">
      <c r="A52" s="3">
        <v>37681</v>
      </c>
      <c r="B52" s="6">
        <v>1.38</v>
      </c>
    </row>
    <row r="53" spans="1:2" x14ac:dyDescent="0.2">
      <c r="A53" s="3">
        <v>37712</v>
      </c>
      <c r="B53" s="6">
        <v>1.31</v>
      </c>
    </row>
    <row r="54" spans="1:2" x14ac:dyDescent="0.2">
      <c r="A54" s="3">
        <v>37742</v>
      </c>
      <c r="B54" s="6">
        <v>1.28</v>
      </c>
    </row>
    <row r="55" spans="1:2" x14ac:dyDescent="0.2">
      <c r="A55" s="3">
        <v>37773</v>
      </c>
      <c r="B55" s="6">
        <v>1.45</v>
      </c>
    </row>
    <row r="56" spans="1:2" x14ac:dyDescent="0.2">
      <c r="A56" s="3">
        <v>37803</v>
      </c>
      <c r="B56" s="6">
        <v>1.04</v>
      </c>
    </row>
    <row r="57" spans="1:2" x14ac:dyDescent="0.2">
      <c r="A57" s="3">
        <v>37834</v>
      </c>
      <c r="B57" s="6">
        <v>1.01</v>
      </c>
    </row>
    <row r="58" spans="1:2" x14ac:dyDescent="0.2">
      <c r="A58" s="3">
        <v>37865</v>
      </c>
      <c r="B58" s="6">
        <v>1.17</v>
      </c>
    </row>
    <row r="59" spans="1:2" x14ac:dyDescent="0.2">
      <c r="A59" s="3">
        <v>37895</v>
      </c>
      <c r="B59" s="6">
        <v>1.03</v>
      </c>
    </row>
    <row r="60" spans="1:2" x14ac:dyDescent="0.2">
      <c r="A60" s="3">
        <v>37926</v>
      </c>
      <c r="B60" s="6">
        <v>1.01</v>
      </c>
    </row>
    <row r="61" spans="1:2" x14ac:dyDescent="0.2">
      <c r="A61" s="3">
        <v>37956</v>
      </c>
      <c r="B61" s="6">
        <v>0.94</v>
      </c>
    </row>
    <row r="62" spans="1:2" x14ac:dyDescent="0.2">
      <c r="A62" s="3">
        <v>37987</v>
      </c>
      <c r="B62" s="6">
        <v>1.03</v>
      </c>
    </row>
    <row r="63" spans="1:2" x14ac:dyDescent="0.2">
      <c r="A63" s="3">
        <v>38018</v>
      </c>
      <c r="B63" s="6">
        <v>1.04</v>
      </c>
    </row>
    <row r="64" spans="1:2" x14ac:dyDescent="0.2">
      <c r="A64" s="3">
        <v>38047</v>
      </c>
      <c r="B64" s="6">
        <v>1.05</v>
      </c>
    </row>
    <row r="65" spans="1:2" x14ac:dyDescent="0.2">
      <c r="A65" s="3">
        <v>38078</v>
      </c>
      <c r="B65" s="6">
        <v>1.03</v>
      </c>
    </row>
    <row r="66" spans="1:2" x14ac:dyDescent="0.2">
      <c r="A66" s="3">
        <v>38108</v>
      </c>
      <c r="B66" s="6">
        <v>1.02</v>
      </c>
    </row>
    <row r="67" spans="1:2" x14ac:dyDescent="0.2">
      <c r="A67" s="3">
        <v>38139</v>
      </c>
      <c r="B67" s="6">
        <v>1.38</v>
      </c>
    </row>
    <row r="68" spans="1:2" x14ac:dyDescent="0.2">
      <c r="A68" s="3">
        <v>38169</v>
      </c>
      <c r="B68" s="6">
        <v>1.29</v>
      </c>
    </row>
    <row r="69" spans="1:2" x14ac:dyDescent="0.2">
      <c r="A69" s="3">
        <v>38200</v>
      </c>
      <c r="B69" s="6">
        <v>1.55</v>
      </c>
    </row>
    <row r="70" spans="1:2" x14ac:dyDescent="0.2">
      <c r="A70" s="3">
        <v>38231</v>
      </c>
      <c r="B70" s="6">
        <v>1.94</v>
      </c>
    </row>
    <row r="71" spans="1:2" x14ac:dyDescent="0.2">
      <c r="A71" s="3">
        <v>38261</v>
      </c>
      <c r="B71" s="6">
        <v>1.79</v>
      </c>
    </row>
    <row r="72" spans="1:2" x14ac:dyDescent="0.2">
      <c r="A72" s="3">
        <v>38292</v>
      </c>
      <c r="B72" s="6">
        <v>2.02</v>
      </c>
    </row>
    <row r="73" spans="1:2" x14ac:dyDescent="0.2">
      <c r="A73" s="3">
        <v>38322</v>
      </c>
      <c r="B73" s="6">
        <v>1.97</v>
      </c>
    </row>
    <row r="74" spans="1:2" x14ac:dyDescent="0.2">
      <c r="A74" s="3">
        <v>38353</v>
      </c>
      <c r="B74" s="6">
        <v>2.5</v>
      </c>
    </row>
    <row r="75" spans="1:2" x14ac:dyDescent="0.2">
      <c r="A75" s="3">
        <v>38384</v>
      </c>
      <c r="B75" s="6">
        <v>2.52</v>
      </c>
    </row>
    <row r="76" spans="1:2" x14ac:dyDescent="0.2">
      <c r="A76" s="3">
        <v>38412</v>
      </c>
      <c r="B76" s="6">
        <v>2.96</v>
      </c>
    </row>
    <row r="77" spans="1:2" x14ac:dyDescent="0.2">
      <c r="A77" s="3">
        <v>38443</v>
      </c>
      <c r="B77" s="6">
        <v>2.97</v>
      </c>
    </row>
    <row r="78" spans="1:2" x14ac:dyDescent="0.2">
      <c r="A78" s="3">
        <v>38473</v>
      </c>
      <c r="B78" s="6">
        <v>3.09</v>
      </c>
    </row>
    <row r="79" spans="1:2" x14ac:dyDescent="0.2">
      <c r="A79" s="3">
        <v>38504</v>
      </c>
      <c r="B79" s="6">
        <v>3.35</v>
      </c>
    </row>
    <row r="80" spans="1:2" x14ac:dyDescent="0.2">
      <c r="A80" s="3">
        <v>38534</v>
      </c>
      <c r="B80" s="6">
        <v>3.31</v>
      </c>
    </row>
    <row r="81" spans="1:2" x14ac:dyDescent="0.2">
      <c r="A81" s="3">
        <v>38565</v>
      </c>
      <c r="B81" s="6">
        <v>3.63</v>
      </c>
    </row>
    <row r="82" spans="1:2" x14ac:dyDescent="0.2">
      <c r="A82" s="3">
        <v>38596</v>
      </c>
      <c r="B82" s="6">
        <v>3.93</v>
      </c>
    </row>
    <row r="83" spans="1:2" x14ac:dyDescent="0.2">
      <c r="A83" s="3">
        <v>38626</v>
      </c>
      <c r="B83" s="6">
        <v>4.0199999999999996</v>
      </c>
    </row>
    <row r="84" spans="1:2" x14ac:dyDescent="0.2">
      <c r="A84" s="3">
        <v>38657</v>
      </c>
      <c r="B84" s="6">
        <v>4.03</v>
      </c>
    </row>
    <row r="85" spans="1:2" x14ac:dyDescent="0.2">
      <c r="A85" s="3">
        <v>38687</v>
      </c>
      <c r="B85" s="6">
        <v>4.09</v>
      </c>
    </row>
    <row r="86" spans="1:2" x14ac:dyDescent="0.2">
      <c r="A86" s="3">
        <v>38718</v>
      </c>
      <c r="B86" s="6">
        <v>4.47</v>
      </c>
    </row>
    <row r="87" spans="1:2" x14ac:dyDescent="0.2">
      <c r="A87" s="3">
        <v>38749</v>
      </c>
      <c r="B87" s="6">
        <v>4.5199999999999996</v>
      </c>
    </row>
    <row r="88" spans="1:2" x14ac:dyDescent="0.2">
      <c r="A88" s="3">
        <v>38777</v>
      </c>
      <c r="B88" s="6">
        <v>5</v>
      </c>
    </row>
    <row r="89" spans="1:2" x14ac:dyDescent="0.2">
      <c r="A89" s="3">
        <v>38808</v>
      </c>
      <c r="B89" s="6">
        <v>4.8600000000000003</v>
      </c>
    </row>
    <row r="90" spans="1:2" x14ac:dyDescent="0.2">
      <c r="A90" s="3">
        <v>38838</v>
      </c>
      <c r="B90" s="6">
        <v>5.05</v>
      </c>
    </row>
    <row r="91" spans="1:2" x14ac:dyDescent="0.2">
      <c r="A91" s="3">
        <v>38869</v>
      </c>
      <c r="B91" s="6">
        <v>5.05</v>
      </c>
    </row>
    <row r="92" spans="1:2" x14ac:dyDescent="0.2">
      <c r="A92" s="3">
        <v>38899</v>
      </c>
      <c r="B92" s="6">
        <v>5.31</v>
      </c>
    </row>
    <row r="93" spans="1:2" x14ac:dyDescent="0.2">
      <c r="A93" s="3">
        <v>38930</v>
      </c>
      <c r="B93" s="6">
        <v>5.31</v>
      </c>
    </row>
    <row r="94" spans="1:2" x14ac:dyDescent="0.2">
      <c r="A94" s="3">
        <v>38961</v>
      </c>
      <c r="B94" s="6">
        <v>5.34</v>
      </c>
    </row>
    <row r="95" spans="1:2" x14ac:dyDescent="0.2">
      <c r="A95" s="3">
        <v>38991</v>
      </c>
      <c r="B95" s="6">
        <v>5.31</v>
      </c>
    </row>
    <row r="96" spans="1:2" x14ac:dyDescent="0.2">
      <c r="A96" s="3">
        <v>39022</v>
      </c>
      <c r="B96" s="6">
        <v>5.31</v>
      </c>
    </row>
    <row r="97" spans="1:2" x14ac:dyDescent="0.2">
      <c r="A97" s="3">
        <v>39052</v>
      </c>
      <c r="B97" s="6">
        <v>5.17</v>
      </c>
    </row>
    <row r="98" spans="1:2" x14ac:dyDescent="0.2">
      <c r="A98" s="3">
        <v>39083</v>
      </c>
      <c r="B98" s="6">
        <v>5.33</v>
      </c>
    </row>
    <row r="99" spans="1:2" x14ac:dyDescent="0.2">
      <c r="A99" s="3">
        <v>39114</v>
      </c>
      <c r="B99" s="6">
        <v>5.41</v>
      </c>
    </row>
    <row r="100" spans="1:2" x14ac:dyDescent="0.2">
      <c r="A100" s="3">
        <v>39142</v>
      </c>
      <c r="B100" s="6">
        <v>5.3</v>
      </c>
    </row>
    <row r="101" spans="1:2" x14ac:dyDescent="0.2">
      <c r="A101" s="3">
        <v>39173</v>
      </c>
      <c r="B101" s="6">
        <v>5.29</v>
      </c>
    </row>
    <row r="102" spans="1:2" x14ac:dyDescent="0.2">
      <c r="A102" s="3">
        <v>39203</v>
      </c>
      <c r="B102" s="6">
        <v>5.28</v>
      </c>
    </row>
    <row r="103" spans="1:2" x14ac:dyDescent="0.2">
      <c r="A103" s="3">
        <v>39234</v>
      </c>
      <c r="B103" s="6">
        <v>5.31</v>
      </c>
    </row>
    <row r="104" spans="1:2" x14ac:dyDescent="0.2">
      <c r="A104" s="3">
        <v>39264</v>
      </c>
      <c r="B104" s="6">
        <v>5.28</v>
      </c>
    </row>
    <row r="105" spans="1:2" x14ac:dyDescent="0.2">
      <c r="A105" s="3">
        <v>39295</v>
      </c>
      <c r="B105" s="6">
        <v>4.96</v>
      </c>
    </row>
    <row r="106" spans="1:2" x14ac:dyDescent="0.2">
      <c r="A106" s="3">
        <v>39326</v>
      </c>
      <c r="B106" s="6">
        <v>4.58</v>
      </c>
    </row>
    <row r="107" spans="1:2" x14ac:dyDescent="0.2">
      <c r="A107" s="3">
        <v>39356</v>
      </c>
      <c r="B107" s="6">
        <v>4.5999999999999996</v>
      </c>
    </row>
    <row r="108" spans="1:2" x14ac:dyDescent="0.2">
      <c r="A108" s="3">
        <v>39387</v>
      </c>
      <c r="B108" s="6">
        <v>4.66</v>
      </c>
    </row>
    <row r="109" spans="1:2" x14ac:dyDescent="0.2">
      <c r="A109" s="3">
        <v>39417</v>
      </c>
      <c r="B109" s="6">
        <v>3.06</v>
      </c>
    </row>
    <row r="110" spans="1:2" x14ac:dyDescent="0.2">
      <c r="A110" s="3">
        <v>39448</v>
      </c>
      <c r="B110" s="6">
        <v>3.22</v>
      </c>
    </row>
    <row r="111" spans="1:2" x14ac:dyDescent="0.2">
      <c r="A111" s="3">
        <v>39479</v>
      </c>
      <c r="B111" s="6">
        <v>3.01</v>
      </c>
    </row>
    <row r="112" spans="1:2" x14ac:dyDescent="0.2">
      <c r="A112" s="3">
        <v>39508</v>
      </c>
      <c r="B112" s="6">
        <v>2.5099999999999998</v>
      </c>
    </row>
    <row r="113" spans="1:2" x14ac:dyDescent="0.2">
      <c r="A113" s="3">
        <v>39539</v>
      </c>
      <c r="B113" s="6">
        <v>2.37</v>
      </c>
    </row>
    <row r="114" spans="1:2" x14ac:dyDescent="0.2">
      <c r="A114" s="3">
        <v>39569</v>
      </c>
      <c r="B114" s="6">
        <v>1.98</v>
      </c>
    </row>
    <row r="115" spans="1:2" x14ac:dyDescent="0.2">
      <c r="A115" s="3">
        <v>39600</v>
      </c>
      <c r="B115" s="6">
        <v>2.4700000000000002</v>
      </c>
    </row>
    <row r="116" spans="1:2" x14ac:dyDescent="0.2">
      <c r="A116" s="3">
        <v>39630</v>
      </c>
      <c r="B116" s="6">
        <v>2.09</v>
      </c>
    </row>
    <row r="117" spans="1:2" x14ac:dyDescent="0.2">
      <c r="A117" s="3">
        <v>39661</v>
      </c>
      <c r="B117" s="6">
        <v>1.94</v>
      </c>
    </row>
    <row r="118" spans="1:2" x14ac:dyDescent="0.2">
      <c r="A118" s="3">
        <v>39692</v>
      </c>
      <c r="B118" s="6">
        <v>2.0299999999999998</v>
      </c>
    </row>
    <row r="119" spans="1:2" x14ac:dyDescent="0.2">
      <c r="A119" s="3">
        <v>39722</v>
      </c>
      <c r="B119" s="6">
        <v>0.22</v>
      </c>
    </row>
    <row r="120" spans="1:2" x14ac:dyDescent="0.2">
      <c r="A120" s="3">
        <v>39753</v>
      </c>
      <c r="B120" s="6">
        <v>0.52</v>
      </c>
    </row>
    <row r="121" spans="1:2" x14ac:dyDescent="0.2">
      <c r="A121" s="3">
        <v>39783</v>
      </c>
      <c r="B121" s="6">
        <v>0.14000000000000001</v>
      </c>
    </row>
    <row r="122" spans="1:2" x14ac:dyDescent="0.2">
      <c r="A122" s="3">
        <v>39814</v>
      </c>
      <c r="B122" s="6">
        <v>0.23</v>
      </c>
    </row>
    <row r="123" spans="1:2" x14ac:dyDescent="0.2">
      <c r="A123" s="3">
        <v>39845</v>
      </c>
      <c r="B123" s="6">
        <v>0.22</v>
      </c>
    </row>
    <row r="124" spans="1:2" x14ac:dyDescent="0.2">
      <c r="A124" s="3">
        <v>39873</v>
      </c>
      <c r="B124" s="6">
        <v>0.16</v>
      </c>
    </row>
    <row r="125" spans="1:2" x14ac:dyDescent="0.2">
      <c r="A125" s="3">
        <v>39904</v>
      </c>
      <c r="B125" s="6">
        <v>0.2</v>
      </c>
    </row>
    <row r="126" spans="1:2" x14ac:dyDescent="0.2">
      <c r="A126" s="3">
        <v>39934</v>
      </c>
      <c r="B126" s="6">
        <v>0.19</v>
      </c>
    </row>
    <row r="127" spans="1:2" x14ac:dyDescent="0.2">
      <c r="A127" s="3">
        <v>39965</v>
      </c>
      <c r="B127" s="6">
        <v>0.22</v>
      </c>
    </row>
    <row r="128" spans="1:2" x14ac:dyDescent="0.2">
      <c r="A128" s="3">
        <v>39995</v>
      </c>
      <c r="B128" s="6">
        <v>0.18</v>
      </c>
    </row>
    <row r="129" spans="1:2" x14ac:dyDescent="0.2">
      <c r="A129" s="3">
        <v>40026</v>
      </c>
      <c r="B129" s="6">
        <v>0.15</v>
      </c>
    </row>
    <row r="130" spans="1:2" x14ac:dyDescent="0.2">
      <c r="A130" s="3">
        <v>40057</v>
      </c>
      <c r="B130" s="6">
        <v>7.0000000000000007E-2</v>
      </c>
    </row>
    <row r="131" spans="1:2" x14ac:dyDescent="0.2">
      <c r="A131" s="3">
        <v>40087</v>
      </c>
      <c r="B131" s="6">
        <v>0.11</v>
      </c>
    </row>
    <row r="132" spans="1:2" x14ac:dyDescent="0.2">
      <c r="A132" s="3">
        <v>40118</v>
      </c>
      <c r="B132" s="6">
        <v>0.13</v>
      </c>
    </row>
    <row r="133" spans="1:2" x14ac:dyDescent="0.2">
      <c r="A133" s="3">
        <v>40148</v>
      </c>
      <c r="B133" s="6">
        <v>0.05</v>
      </c>
    </row>
    <row r="134" spans="1:2" x14ac:dyDescent="0.2">
      <c r="A134" s="3">
        <v>40179</v>
      </c>
      <c r="B134" s="6">
        <v>0.12</v>
      </c>
    </row>
    <row r="135" spans="1:2" x14ac:dyDescent="0.2">
      <c r="A135" s="3">
        <v>40210</v>
      </c>
      <c r="B135" s="6">
        <v>0.13</v>
      </c>
    </row>
    <row r="136" spans="1:2" x14ac:dyDescent="0.2">
      <c r="A136" s="3">
        <v>40238</v>
      </c>
      <c r="B136" s="6">
        <v>0.09</v>
      </c>
    </row>
    <row r="137" spans="1:2" x14ac:dyDescent="0.2">
      <c r="A137" s="3">
        <v>40269</v>
      </c>
      <c r="B137" s="6">
        <v>0.2</v>
      </c>
    </row>
    <row r="138" spans="1:2" x14ac:dyDescent="0.2">
      <c r="A138" s="3">
        <v>40299</v>
      </c>
      <c r="B138" s="6">
        <v>0.19</v>
      </c>
    </row>
    <row r="139" spans="1:2" x14ac:dyDescent="0.2">
      <c r="A139" s="3">
        <v>40330</v>
      </c>
      <c r="B139" s="6">
        <v>0.09</v>
      </c>
    </row>
    <row r="140" spans="1:2" x14ac:dyDescent="0.2">
      <c r="A140" s="3">
        <v>40360</v>
      </c>
      <c r="B140" s="6">
        <v>0.18</v>
      </c>
    </row>
    <row r="141" spans="1:2" x14ac:dyDescent="0.2">
      <c r="A141" s="3">
        <v>40391</v>
      </c>
      <c r="B141" s="6">
        <v>0.21</v>
      </c>
    </row>
    <row r="142" spans="1:2" x14ac:dyDescent="0.2">
      <c r="A142" s="3">
        <v>40422</v>
      </c>
      <c r="B142" s="6">
        <v>0.15</v>
      </c>
    </row>
    <row r="143" spans="1:2" x14ac:dyDescent="0.2">
      <c r="A143" s="3">
        <v>40452</v>
      </c>
      <c r="B143" s="6">
        <v>0.2</v>
      </c>
    </row>
    <row r="144" spans="1:2" x14ac:dyDescent="0.2">
      <c r="A144" s="3">
        <v>40483</v>
      </c>
      <c r="B144" s="6">
        <v>0.2</v>
      </c>
    </row>
    <row r="145" spans="1:2" x14ac:dyDescent="0.2">
      <c r="A145" s="3">
        <v>40513</v>
      </c>
      <c r="B145" s="6">
        <v>0.13</v>
      </c>
    </row>
    <row r="146" spans="1:2" x14ac:dyDescent="0.2">
      <c r="A146" s="3">
        <v>40544</v>
      </c>
      <c r="B146" s="6">
        <v>0.17</v>
      </c>
    </row>
    <row r="147" spans="1:2" x14ac:dyDescent="0.2">
      <c r="A147" s="3">
        <v>40575</v>
      </c>
      <c r="B147" s="6">
        <v>0.16</v>
      </c>
    </row>
    <row r="148" spans="1:2" x14ac:dyDescent="0.2">
      <c r="A148" s="3">
        <v>40603</v>
      </c>
      <c r="B148" s="6">
        <v>0.1</v>
      </c>
    </row>
    <row r="149" spans="1:2" x14ac:dyDescent="0.2">
      <c r="A149" s="3">
        <v>40634</v>
      </c>
      <c r="B149" s="6">
        <v>0.09</v>
      </c>
    </row>
    <row r="150" spans="1:2" x14ac:dyDescent="0.2">
      <c r="A150" s="3">
        <v>40664</v>
      </c>
      <c r="B150" s="6">
        <v>0.1</v>
      </c>
    </row>
    <row r="151" spans="1:2" x14ac:dyDescent="0.2">
      <c r="A151" s="3">
        <v>40695</v>
      </c>
      <c r="B151" s="6">
        <v>7.0000000000000007E-2</v>
      </c>
    </row>
    <row r="152" spans="1:2" x14ac:dyDescent="0.2">
      <c r="A152" s="3">
        <v>40725</v>
      </c>
      <c r="B152" s="6">
        <v>0.11</v>
      </c>
    </row>
    <row r="153" spans="1:2" x14ac:dyDescent="0.2">
      <c r="A153" s="3">
        <v>40756</v>
      </c>
      <c r="B153" s="6">
        <v>0.08</v>
      </c>
    </row>
    <row r="154" spans="1:2" x14ac:dyDescent="0.2">
      <c r="A154" s="3">
        <v>40787</v>
      </c>
      <c r="B154" s="6">
        <v>0.06</v>
      </c>
    </row>
    <row r="155" spans="1:2" x14ac:dyDescent="0.2">
      <c r="A155" s="3">
        <v>40817</v>
      </c>
      <c r="B155" s="6">
        <v>0.09</v>
      </c>
    </row>
    <row r="156" spans="1:2" x14ac:dyDescent="0.2">
      <c r="A156" s="3">
        <v>40848</v>
      </c>
      <c r="B156" s="6">
        <v>0.1</v>
      </c>
    </row>
    <row r="157" spans="1:2" x14ac:dyDescent="0.2">
      <c r="A157" s="3">
        <v>40878</v>
      </c>
      <c r="B157" s="6">
        <v>0.04</v>
      </c>
    </row>
    <row r="158" spans="1:2" x14ac:dyDescent="0.2">
      <c r="A158" s="3">
        <v>40909</v>
      </c>
      <c r="B158" s="6">
        <v>0.11</v>
      </c>
    </row>
    <row r="159" spans="1:2" x14ac:dyDescent="0.2">
      <c r="A159" s="3">
        <v>40940</v>
      </c>
      <c r="B159" s="6">
        <v>0.1</v>
      </c>
    </row>
    <row r="160" spans="1:2" x14ac:dyDescent="0.2">
      <c r="A160" s="3">
        <v>40969</v>
      </c>
      <c r="B160" s="6">
        <v>0.09</v>
      </c>
    </row>
    <row r="161" spans="1:2" x14ac:dyDescent="0.2">
      <c r="A161" s="3">
        <v>41000</v>
      </c>
      <c r="B161" s="6">
        <v>0.16</v>
      </c>
    </row>
    <row r="162" spans="1:2" x14ac:dyDescent="0.2">
      <c r="A162" s="3">
        <v>41030</v>
      </c>
      <c r="B162" s="6">
        <v>0.16</v>
      </c>
    </row>
    <row r="163" spans="1:2" x14ac:dyDescent="0.2">
      <c r="A163" s="3">
        <v>41061</v>
      </c>
      <c r="B163" s="6">
        <v>0.09</v>
      </c>
    </row>
    <row r="164" spans="1:2" x14ac:dyDescent="0.2">
      <c r="A164" s="3">
        <v>41091</v>
      </c>
      <c r="B164" s="6">
        <v>0.13</v>
      </c>
    </row>
    <row r="165" spans="1:2" x14ac:dyDescent="0.2">
      <c r="A165" s="3">
        <v>41122</v>
      </c>
      <c r="B165" s="6">
        <v>0.13</v>
      </c>
    </row>
    <row r="166" spans="1:2" x14ac:dyDescent="0.2">
      <c r="A166" s="3">
        <v>41153</v>
      </c>
      <c r="B166" s="6">
        <v>0.09</v>
      </c>
    </row>
    <row r="167" spans="1:2" x14ac:dyDescent="0.2">
      <c r="A167" s="3">
        <v>41183</v>
      </c>
      <c r="B167" s="6">
        <v>0.18</v>
      </c>
    </row>
    <row r="168" spans="1:2" x14ac:dyDescent="0.2">
      <c r="A168" s="3">
        <v>41214</v>
      </c>
      <c r="B168" s="6">
        <v>0.16</v>
      </c>
    </row>
    <row r="169" spans="1:2" x14ac:dyDescent="0.2">
      <c r="A169" s="3">
        <v>41244</v>
      </c>
      <c r="B169" s="6">
        <v>0.09</v>
      </c>
    </row>
    <row r="170" spans="1:2" x14ac:dyDescent="0.2">
      <c r="A170" s="3">
        <v>41275</v>
      </c>
      <c r="B170" s="6">
        <v>0.15</v>
      </c>
    </row>
    <row r="171" spans="1:2" x14ac:dyDescent="0.2">
      <c r="A171" s="3">
        <v>41306</v>
      </c>
      <c r="B171" s="6">
        <v>0.14000000000000001</v>
      </c>
    </row>
    <row r="172" spans="1:2" x14ac:dyDescent="0.2">
      <c r="A172" s="3">
        <v>41334</v>
      </c>
      <c r="B172" s="6">
        <v>0.09</v>
      </c>
    </row>
    <row r="173" spans="1:2" x14ac:dyDescent="0.2">
      <c r="A173" s="3">
        <v>41365</v>
      </c>
      <c r="B173" s="6">
        <v>0.14000000000000001</v>
      </c>
    </row>
    <row r="174" spans="1:2" x14ac:dyDescent="0.2">
      <c r="A174" s="3">
        <v>41395</v>
      </c>
      <c r="B174" s="6">
        <v>0.09</v>
      </c>
    </row>
    <row r="175" spans="1:2" x14ac:dyDescent="0.2">
      <c r="A175" s="3">
        <v>41426</v>
      </c>
      <c r="B175" s="6">
        <v>7.0000000000000007E-2</v>
      </c>
    </row>
    <row r="176" spans="1:2" x14ac:dyDescent="0.2">
      <c r="A176" s="3">
        <v>41456</v>
      </c>
      <c r="B176" s="6">
        <v>0.09</v>
      </c>
    </row>
    <row r="177" spans="1:2" x14ac:dyDescent="0.2">
      <c r="A177" s="3">
        <v>41487</v>
      </c>
      <c r="B177" s="6">
        <v>7.0000000000000007E-2</v>
      </c>
    </row>
    <row r="178" spans="1:2" x14ac:dyDescent="0.2">
      <c r="A178" s="3">
        <v>41518</v>
      </c>
      <c r="B178" s="6">
        <v>0.06</v>
      </c>
    </row>
    <row r="179" spans="1:2" x14ac:dyDescent="0.2">
      <c r="A179" s="3">
        <v>41548</v>
      </c>
      <c r="B179" s="6">
        <v>7.0000000000000007E-2</v>
      </c>
    </row>
    <row r="180" spans="1:2" x14ac:dyDescent="0.2">
      <c r="A180" s="3">
        <v>41579</v>
      </c>
      <c r="B180" s="6">
        <v>7.0000000000000007E-2</v>
      </c>
    </row>
    <row r="181" spans="1:2" x14ac:dyDescent="0.2">
      <c r="A181" s="3">
        <v>41609</v>
      </c>
      <c r="B181" s="6">
        <v>7.0000000000000007E-2</v>
      </c>
    </row>
    <row r="182" spans="1:2" x14ac:dyDescent="0.2">
      <c r="A182" s="3">
        <v>41640</v>
      </c>
      <c r="B182" s="6">
        <v>7.0000000000000007E-2</v>
      </c>
    </row>
    <row r="183" spans="1:2" x14ac:dyDescent="0.2">
      <c r="A183" s="3">
        <v>41671</v>
      </c>
      <c r="B183" s="6">
        <v>0.06</v>
      </c>
    </row>
    <row r="184" spans="1:2" x14ac:dyDescent="0.2">
      <c r="A184" s="3">
        <v>41699</v>
      </c>
      <c r="B184" s="6">
        <v>0.06</v>
      </c>
    </row>
    <row r="185" spans="1:2" x14ac:dyDescent="0.2">
      <c r="A185" s="3">
        <v>41730</v>
      </c>
      <c r="B185" s="6">
        <v>0.09</v>
      </c>
    </row>
    <row r="186" spans="1:2" x14ac:dyDescent="0.2">
      <c r="A186" s="3">
        <v>41760</v>
      </c>
      <c r="B186" s="6">
        <v>0.08</v>
      </c>
    </row>
    <row r="187" spans="1:2" x14ac:dyDescent="0.2">
      <c r="A187" s="3">
        <v>41791</v>
      </c>
      <c r="B187" s="6">
        <v>0.09</v>
      </c>
    </row>
    <row r="188" spans="1:2" x14ac:dyDescent="0.2">
      <c r="A188" s="3">
        <v>41821</v>
      </c>
      <c r="B188" s="6">
        <v>0.08</v>
      </c>
    </row>
    <row r="189" spans="1:2" x14ac:dyDescent="0.2">
      <c r="A189" s="3">
        <v>41852</v>
      </c>
      <c r="B189" s="6">
        <v>7.0000000000000007E-2</v>
      </c>
    </row>
    <row r="190" spans="1:2" x14ac:dyDescent="0.2">
      <c r="A190" s="3">
        <v>41883</v>
      </c>
      <c r="B190" s="6">
        <v>7.0000000000000007E-2</v>
      </c>
    </row>
    <row r="191" spans="1:2" x14ac:dyDescent="0.2">
      <c r="A191" s="3">
        <v>41913</v>
      </c>
      <c r="B191" s="6">
        <v>7.0000000000000007E-2</v>
      </c>
    </row>
    <row r="192" spans="1:2" x14ac:dyDescent="0.2">
      <c r="A192" s="3">
        <v>41944</v>
      </c>
      <c r="B192" s="6">
        <v>0.08</v>
      </c>
    </row>
    <row r="193" spans="1:2" x14ac:dyDescent="0.2">
      <c r="A193" s="3">
        <v>41974</v>
      </c>
      <c r="B193" s="6">
        <v>0.06</v>
      </c>
    </row>
    <row r="194" spans="1:2" x14ac:dyDescent="0.2">
      <c r="A194" s="3">
        <v>42005</v>
      </c>
      <c r="B194" s="6">
        <v>0.06</v>
      </c>
    </row>
    <row r="195" spans="1:2" x14ac:dyDescent="0.2">
      <c r="A195" s="3">
        <v>42036</v>
      </c>
      <c r="B195" s="6">
        <v>0.06</v>
      </c>
    </row>
    <row r="196" spans="1:2" x14ac:dyDescent="0.2">
      <c r="A196" s="3">
        <v>42064</v>
      </c>
      <c r="B196" s="6">
        <v>0.06</v>
      </c>
    </row>
    <row r="197" spans="1:2" x14ac:dyDescent="0.2">
      <c r="A197" s="3">
        <v>42095</v>
      </c>
      <c r="B197" s="6">
        <v>0.08</v>
      </c>
    </row>
    <row r="198" spans="1:2" x14ac:dyDescent="0.2">
      <c r="A198" s="3">
        <v>42125</v>
      </c>
      <c r="B198" s="6">
        <v>0.08</v>
      </c>
    </row>
    <row r="199" spans="1:2" x14ac:dyDescent="0.2">
      <c r="A199" s="3">
        <v>42156</v>
      </c>
      <c r="B199" s="6">
        <v>0.08</v>
      </c>
    </row>
    <row r="200" spans="1:2" x14ac:dyDescent="0.2">
      <c r="A200" s="3">
        <v>42186</v>
      </c>
      <c r="B200" s="6">
        <v>0.08</v>
      </c>
    </row>
    <row r="201" spans="1:2" x14ac:dyDescent="0.2">
      <c r="A201" s="3">
        <v>42217</v>
      </c>
      <c r="B201" s="6">
        <v>0.08</v>
      </c>
    </row>
    <row r="202" spans="1:2" x14ac:dyDescent="0.2">
      <c r="A202" s="3">
        <v>42248</v>
      </c>
      <c r="B202" s="6">
        <v>7.0000000000000007E-2</v>
      </c>
    </row>
    <row r="203" spans="1:2" x14ac:dyDescent="0.2">
      <c r="A203" s="3">
        <v>42278</v>
      </c>
      <c r="B203" s="6">
        <v>7.0000000000000007E-2</v>
      </c>
    </row>
    <row r="204" spans="1:2" x14ac:dyDescent="0.2">
      <c r="A204" s="3">
        <v>42309</v>
      </c>
      <c r="B204" s="6">
        <v>0.08</v>
      </c>
    </row>
    <row r="205" spans="1:2" x14ac:dyDescent="0.2">
      <c r="A205" s="3">
        <v>42339</v>
      </c>
      <c r="B205" s="6">
        <v>0.2</v>
      </c>
    </row>
    <row r="206" spans="1:2" x14ac:dyDescent="0.2">
      <c r="A206" s="3">
        <v>42370</v>
      </c>
      <c r="B206" s="6">
        <v>0.28999999999999998</v>
      </c>
    </row>
    <row r="207" spans="1:2" x14ac:dyDescent="0.2">
      <c r="A207" s="3">
        <v>42401</v>
      </c>
      <c r="B207" s="6">
        <v>0.28999999999999998</v>
      </c>
    </row>
    <row r="208" spans="1:2" x14ac:dyDescent="0.2">
      <c r="A208" s="3">
        <v>42430</v>
      </c>
      <c r="B208" s="6">
        <v>0.25</v>
      </c>
    </row>
    <row r="209" spans="1:2" x14ac:dyDescent="0.2">
      <c r="A209" s="3">
        <v>42461</v>
      </c>
      <c r="B209" s="6">
        <v>0.3</v>
      </c>
    </row>
    <row r="210" spans="1:2" x14ac:dyDescent="0.2">
      <c r="A210" s="3">
        <v>42491</v>
      </c>
      <c r="B210" s="6">
        <v>0.28999999999999998</v>
      </c>
    </row>
    <row r="211" spans="1:2" x14ac:dyDescent="0.2">
      <c r="A211" s="3">
        <v>42522</v>
      </c>
      <c r="B211" s="6">
        <v>0.3</v>
      </c>
    </row>
    <row r="212" spans="1:2" x14ac:dyDescent="0.2">
      <c r="A212" s="3">
        <v>42552</v>
      </c>
      <c r="B212" s="6">
        <v>0.3</v>
      </c>
    </row>
    <row r="213" spans="1:2" x14ac:dyDescent="0.2">
      <c r="A213" s="3">
        <v>42583</v>
      </c>
      <c r="B213" s="6">
        <v>0.3</v>
      </c>
    </row>
    <row r="214" spans="1:2" x14ac:dyDescent="0.2">
      <c r="A214" s="3">
        <v>42614</v>
      </c>
      <c r="B214" s="6">
        <v>0.28999999999999998</v>
      </c>
    </row>
    <row r="215" spans="1:2" x14ac:dyDescent="0.2">
      <c r="A215" s="3">
        <v>42644</v>
      </c>
      <c r="B215" s="6">
        <v>0.31</v>
      </c>
    </row>
    <row r="216" spans="1:2" x14ac:dyDescent="0.2">
      <c r="A216" s="3">
        <v>42675</v>
      </c>
      <c r="B216" s="6">
        <v>0.31</v>
      </c>
    </row>
    <row r="217" spans="1:2" x14ac:dyDescent="0.2">
      <c r="A217" s="3">
        <v>42705</v>
      </c>
      <c r="B217" s="6">
        <v>0.55000000000000004</v>
      </c>
    </row>
    <row r="218" spans="1:2" x14ac:dyDescent="0.2">
      <c r="A218" s="3">
        <v>42736</v>
      </c>
      <c r="B218" s="6">
        <v>0.56000000000000005</v>
      </c>
    </row>
    <row r="219" spans="1:2" x14ac:dyDescent="0.2">
      <c r="A219" s="3">
        <v>42767</v>
      </c>
      <c r="B219" s="6">
        <v>0.56999999999999995</v>
      </c>
    </row>
    <row r="220" spans="1:2" x14ac:dyDescent="0.2">
      <c r="A220" s="3">
        <v>42795</v>
      </c>
      <c r="B220" s="6">
        <v>0.82</v>
      </c>
    </row>
    <row r="221" spans="1:2" x14ac:dyDescent="0.2">
      <c r="A221" s="3">
        <v>42826</v>
      </c>
      <c r="B221" s="6">
        <v>0.83</v>
      </c>
    </row>
    <row r="222" spans="1:2" x14ac:dyDescent="0.2">
      <c r="A222" s="3">
        <v>42856</v>
      </c>
      <c r="B222" s="6">
        <v>0.83</v>
      </c>
    </row>
    <row r="223" spans="1:2" x14ac:dyDescent="0.2">
      <c r="A223" s="3">
        <v>42887</v>
      </c>
      <c r="B223" s="6">
        <v>1.06</v>
      </c>
    </row>
    <row r="224" spans="1:2" x14ac:dyDescent="0.2">
      <c r="A224" s="3">
        <v>42917</v>
      </c>
      <c r="B224" s="6">
        <v>1.07</v>
      </c>
    </row>
    <row r="225" spans="1:2" x14ac:dyDescent="0.2">
      <c r="A225" s="3">
        <v>42948</v>
      </c>
      <c r="B225" s="6">
        <v>1.07</v>
      </c>
    </row>
    <row r="226" spans="1:2" x14ac:dyDescent="0.2">
      <c r="A226" s="3">
        <v>42979</v>
      </c>
      <c r="B226" s="6">
        <v>1.06</v>
      </c>
    </row>
    <row r="227" spans="1:2" x14ac:dyDescent="0.2">
      <c r="A227" s="3">
        <v>43009</v>
      </c>
      <c r="B227" s="6">
        <v>1.07</v>
      </c>
    </row>
    <row r="228" spans="1:2" x14ac:dyDescent="0.2">
      <c r="A228" s="3">
        <v>43040</v>
      </c>
      <c r="B228" s="6">
        <v>1.07</v>
      </c>
    </row>
    <row r="229" spans="1:2" x14ac:dyDescent="0.2">
      <c r="A229" s="3">
        <v>43070</v>
      </c>
      <c r="B229" s="6">
        <v>1.33</v>
      </c>
    </row>
    <row r="230" spans="1:2" x14ac:dyDescent="0.2">
      <c r="A230" s="3">
        <v>43101</v>
      </c>
      <c r="B230" s="6">
        <v>1.34</v>
      </c>
    </row>
    <row r="231" spans="1:2" x14ac:dyDescent="0.2">
      <c r="A231" s="3">
        <v>43132</v>
      </c>
      <c r="B231" s="6">
        <v>1.35</v>
      </c>
    </row>
    <row r="232" spans="1:2" x14ac:dyDescent="0.2">
      <c r="A232" s="3">
        <v>43160</v>
      </c>
      <c r="B232" s="6">
        <v>1.67</v>
      </c>
    </row>
    <row r="233" spans="1:2" x14ac:dyDescent="0.2">
      <c r="A233" s="3">
        <v>43191</v>
      </c>
      <c r="B233" s="6">
        <v>1.69</v>
      </c>
    </row>
    <row r="234" spans="1:2" x14ac:dyDescent="0.2">
      <c r="A234" s="3">
        <v>43221</v>
      </c>
      <c r="B234" s="6">
        <v>1.7</v>
      </c>
    </row>
    <row r="235" spans="1:2" x14ac:dyDescent="0.2">
      <c r="A235" s="3">
        <v>43252</v>
      </c>
      <c r="B235" s="6">
        <v>1.91</v>
      </c>
    </row>
    <row r="236" spans="1:2" x14ac:dyDescent="0.2">
      <c r="A236" s="3">
        <v>43282</v>
      </c>
      <c r="B236" s="6">
        <v>1.91</v>
      </c>
    </row>
    <row r="237" spans="1:2" x14ac:dyDescent="0.2">
      <c r="A237" s="3">
        <v>43313</v>
      </c>
      <c r="B237" s="6">
        <v>1.91</v>
      </c>
    </row>
    <row r="238" spans="1:2" x14ac:dyDescent="0.2">
      <c r="A238" s="3">
        <v>43344</v>
      </c>
      <c r="B238" s="6">
        <v>2.1800000000000002</v>
      </c>
    </row>
    <row r="239" spans="1:2" x14ac:dyDescent="0.2">
      <c r="A239" s="3">
        <v>43374</v>
      </c>
      <c r="B239" s="6">
        <v>2.2000000000000002</v>
      </c>
    </row>
    <row r="240" spans="1:2" x14ac:dyDescent="0.2">
      <c r="A240" s="3">
        <v>43405</v>
      </c>
      <c r="B240" s="6">
        <v>2.2000000000000002</v>
      </c>
    </row>
    <row r="241" spans="1:2" x14ac:dyDescent="0.2">
      <c r="A241" s="3">
        <v>43435</v>
      </c>
      <c r="B241" s="6">
        <v>2.4</v>
      </c>
    </row>
    <row r="242" spans="1:2" x14ac:dyDescent="0.2">
      <c r="A242" s="3">
        <v>43466</v>
      </c>
      <c r="B242" s="6">
        <v>2.4</v>
      </c>
    </row>
    <row r="243" spans="1:2" x14ac:dyDescent="0.2">
      <c r="A243" s="3">
        <v>43497</v>
      </c>
      <c r="B243" s="6">
        <v>2.4</v>
      </c>
    </row>
    <row r="244" spans="1:2" x14ac:dyDescent="0.2">
      <c r="A244" s="3">
        <v>43525</v>
      </c>
      <c r="B244" s="6">
        <v>2.4300000000000002</v>
      </c>
    </row>
    <row r="245" spans="1:2" x14ac:dyDescent="0.2">
      <c r="A245" s="3">
        <v>43556</v>
      </c>
      <c r="B245" s="6">
        <v>2.4500000000000002</v>
      </c>
    </row>
    <row r="246" spans="1:2" x14ac:dyDescent="0.2">
      <c r="A246" s="3">
        <v>43586</v>
      </c>
      <c r="B246" s="6">
        <v>2.4</v>
      </c>
    </row>
    <row r="247" spans="1:2" x14ac:dyDescent="0.2">
      <c r="A247" s="3">
        <v>43617</v>
      </c>
      <c r="B247" s="6">
        <v>2.4</v>
      </c>
    </row>
    <row r="248" spans="1:2" x14ac:dyDescent="0.2">
      <c r="A248" s="3">
        <v>43647</v>
      </c>
      <c r="B248" s="6">
        <v>2.4</v>
      </c>
    </row>
    <row r="249" spans="1:2" x14ac:dyDescent="0.2">
      <c r="A249" s="3">
        <v>43678</v>
      </c>
      <c r="B249" s="6">
        <v>2.13</v>
      </c>
    </row>
    <row r="250" spans="1:2" x14ac:dyDescent="0.2">
      <c r="A250" s="3">
        <v>43709</v>
      </c>
      <c r="B250" s="6">
        <v>1.9</v>
      </c>
    </row>
    <row r="251" spans="1:2" x14ac:dyDescent="0.2">
      <c r="A251" s="3">
        <v>43739</v>
      </c>
      <c r="B251" s="6">
        <v>1.58</v>
      </c>
    </row>
    <row r="252" spans="1:2" x14ac:dyDescent="0.2">
      <c r="A252" s="3">
        <v>43770</v>
      </c>
      <c r="B252" s="6">
        <v>1.56</v>
      </c>
    </row>
    <row r="253" spans="1:2" x14ac:dyDescent="0.2">
      <c r="A253" s="3">
        <v>43800</v>
      </c>
      <c r="B253" s="6">
        <v>1.55</v>
      </c>
    </row>
    <row r="254" spans="1:2" x14ac:dyDescent="0.2">
      <c r="A254" s="3">
        <v>43831</v>
      </c>
      <c r="B254" s="6">
        <v>1.59</v>
      </c>
    </row>
    <row r="255" spans="1:2" x14ac:dyDescent="0.2">
      <c r="A255" s="3">
        <v>43862</v>
      </c>
      <c r="B255" s="6">
        <v>1.58</v>
      </c>
    </row>
    <row r="256" spans="1:2" x14ac:dyDescent="0.2">
      <c r="A256" s="3">
        <v>43891</v>
      </c>
      <c r="B256" s="6">
        <v>0.08</v>
      </c>
    </row>
    <row r="257" spans="1:2" x14ac:dyDescent="0.2">
      <c r="A257" s="3">
        <v>43922</v>
      </c>
      <c r="B257" s="6">
        <v>0.05</v>
      </c>
    </row>
    <row r="258" spans="1:2" x14ac:dyDescent="0.2">
      <c r="A258" s="3">
        <v>43952</v>
      </c>
      <c r="B258" s="6">
        <v>0.05</v>
      </c>
    </row>
    <row r="259" spans="1:2" x14ac:dyDescent="0.2">
      <c r="A259" s="3">
        <v>43983</v>
      </c>
      <c r="B259" s="6">
        <v>0.08</v>
      </c>
    </row>
    <row r="260" spans="1:2" x14ac:dyDescent="0.2">
      <c r="A260" s="3">
        <v>44013</v>
      </c>
      <c r="B260" s="6">
        <v>0.1</v>
      </c>
    </row>
    <row r="261" spans="1:2" x14ac:dyDescent="0.2">
      <c r="A261" s="3">
        <v>44044</v>
      </c>
      <c r="B261" s="6">
        <v>0.09</v>
      </c>
    </row>
    <row r="262" spans="1:2" x14ac:dyDescent="0.2">
      <c r="A262" s="3">
        <v>44075</v>
      </c>
      <c r="B262" s="6">
        <v>0.09</v>
      </c>
    </row>
    <row r="263" spans="1:2" x14ac:dyDescent="0.2">
      <c r="A263" s="3">
        <v>44105</v>
      </c>
      <c r="B263" s="6">
        <v>0.09</v>
      </c>
    </row>
    <row r="264" spans="1:2" x14ac:dyDescent="0.2">
      <c r="A264" s="3">
        <v>44136</v>
      </c>
      <c r="B264" s="6">
        <v>0.09</v>
      </c>
    </row>
    <row r="265" spans="1:2" x14ac:dyDescent="0.2">
      <c r="A265" s="3">
        <v>44166</v>
      </c>
      <c r="B265" s="6">
        <v>0.09</v>
      </c>
    </row>
    <row r="266" spans="1:2" x14ac:dyDescent="0.2">
      <c r="A266" s="3">
        <v>44197</v>
      </c>
      <c r="B266" s="6">
        <v>7.0000000000000007E-2</v>
      </c>
    </row>
    <row r="267" spans="1:2" x14ac:dyDescent="0.2">
      <c r="A267" s="3">
        <v>44228</v>
      </c>
      <c r="B267" s="6">
        <v>7.0000000000000007E-2</v>
      </c>
    </row>
    <row r="268" spans="1:2" x14ac:dyDescent="0.2">
      <c r="A268" s="3">
        <v>44256</v>
      </c>
      <c r="B268" s="6">
        <v>0.06</v>
      </c>
    </row>
    <row r="269" spans="1:2" x14ac:dyDescent="0.2">
      <c r="A269" s="3">
        <v>44287</v>
      </c>
      <c r="B269" s="6">
        <v>0.05</v>
      </c>
    </row>
    <row r="270" spans="1:2" x14ac:dyDescent="0.2">
      <c r="A270" s="3">
        <v>44317</v>
      </c>
      <c r="B270" s="6">
        <v>0.05</v>
      </c>
    </row>
    <row r="271" spans="1:2" x14ac:dyDescent="0.2">
      <c r="A271" s="3">
        <v>44348</v>
      </c>
      <c r="B271" s="6">
        <v>0.08</v>
      </c>
    </row>
    <row r="272" spans="1:2" x14ac:dyDescent="0.2">
      <c r="A272" s="3">
        <v>44378</v>
      </c>
      <c r="B272" s="6">
        <v>7.0000000000000007E-2</v>
      </c>
    </row>
    <row r="273" spans="1:2" x14ac:dyDescent="0.2">
      <c r="A273" s="3">
        <v>44409</v>
      </c>
      <c r="B273" s="6">
        <v>0.06</v>
      </c>
    </row>
    <row r="274" spans="1:2" x14ac:dyDescent="0.2">
      <c r="A274" s="3">
        <v>44440</v>
      </c>
      <c r="B274" s="6">
        <v>0.06</v>
      </c>
    </row>
    <row r="275" spans="1:2" x14ac:dyDescent="0.2">
      <c r="A275" s="3">
        <v>44470</v>
      </c>
      <c r="B275" s="6">
        <v>7.0000000000000007E-2</v>
      </c>
    </row>
    <row r="276" spans="1:2" x14ac:dyDescent="0.2">
      <c r="A276" s="3">
        <v>44501</v>
      </c>
      <c r="B276" s="6">
        <v>7.0000000000000007E-2</v>
      </c>
    </row>
    <row r="277" spans="1:2" x14ac:dyDescent="0.2">
      <c r="A277" s="3">
        <v>44531</v>
      </c>
      <c r="B277" s="6">
        <v>7.0000000000000007E-2</v>
      </c>
    </row>
    <row r="278" spans="1:2" x14ac:dyDescent="0.2">
      <c r="A278" s="3">
        <v>44562</v>
      </c>
      <c r="B278" s="6">
        <v>0.08</v>
      </c>
    </row>
    <row r="279" spans="1:2" x14ac:dyDescent="0.2">
      <c r="A279" s="3">
        <v>44593</v>
      </c>
      <c r="B279" s="6">
        <v>0.08</v>
      </c>
    </row>
    <row r="280" spans="1:2" x14ac:dyDescent="0.2">
      <c r="A280" s="3">
        <v>44621</v>
      </c>
      <c r="B280" s="6">
        <v>0.33</v>
      </c>
    </row>
    <row r="281" spans="1:2" x14ac:dyDescent="0.2">
      <c r="A281" s="3">
        <v>44652</v>
      </c>
      <c r="B281" s="6">
        <v>0.33</v>
      </c>
    </row>
    <row r="282" spans="1:2" x14ac:dyDescent="0.2">
      <c r="A282" s="3">
        <v>44682</v>
      </c>
      <c r="B282" s="6">
        <v>0.83</v>
      </c>
    </row>
    <row r="283" spans="1:2" x14ac:dyDescent="0.2">
      <c r="A283" s="3">
        <v>44713</v>
      </c>
      <c r="B283" s="6">
        <v>1.58</v>
      </c>
    </row>
    <row r="284" spans="1:2" x14ac:dyDescent="0.2">
      <c r="A284" s="3">
        <v>44743</v>
      </c>
      <c r="B284" s="6">
        <v>2.3199999999999998</v>
      </c>
    </row>
    <row r="285" spans="1:2" x14ac:dyDescent="0.2">
      <c r="A285" s="3">
        <v>44774</v>
      </c>
      <c r="B285" s="6">
        <v>2.33</v>
      </c>
    </row>
    <row r="286" spans="1:2" x14ac:dyDescent="0.2">
      <c r="A286" s="3">
        <v>44805</v>
      </c>
      <c r="B286" s="6">
        <v>3.08</v>
      </c>
    </row>
    <row r="287" spans="1:2" x14ac:dyDescent="0.2">
      <c r="A287" s="3">
        <v>44835</v>
      </c>
      <c r="B287" s="6">
        <v>3.08</v>
      </c>
    </row>
    <row r="288" spans="1:2" x14ac:dyDescent="0.2">
      <c r="A288" s="3">
        <v>44866</v>
      </c>
      <c r="B288" s="6">
        <v>3.83</v>
      </c>
    </row>
    <row r="289" spans="1:2" x14ac:dyDescent="0.2">
      <c r="A289" s="3">
        <v>44896</v>
      </c>
      <c r="B289" s="6">
        <v>4.33</v>
      </c>
    </row>
    <row r="290" spans="1:2" x14ac:dyDescent="0.2">
      <c r="A290" s="3">
        <v>44927</v>
      </c>
      <c r="B290" s="6">
        <v>4.33</v>
      </c>
    </row>
    <row r="291" spans="1:2" x14ac:dyDescent="0.2">
      <c r="A291" s="3">
        <v>44958</v>
      </c>
      <c r="B291" s="6">
        <v>4.57</v>
      </c>
    </row>
    <row r="292" spans="1:2" x14ac:dyDescent="0.2">
      <c r="A292" s="3">
        <v>44986</v>
      </c>
      <c r="B292" s="6">
        <v>4.83</v>
      </c>
    </row>
    <row r="293" spans="1:2" x14ac:dyDescent="0.2">
      <c r="A293" s="3">
        <v>45017</v>
      </c>
      <c r="B293" s="6">
        <v>4.83</v>
      </c>
    </row>
    <row r="294" spans="1:2" x14ac:dyDescent="0.2">
      <c r="A294" s="3">
        <v>45047</v>
      </c>
      <c r="B294" s="6">
        <v>5.08</v>
      </c>
    </row>
    <row r="295" spans="1:2" x14ac:dyDescent="0.2">
      <c r="A295" s="3">
        <v>45078</v>
      </c>
      <c r="B295" s="6">
        <v>5.08</v>
      </c>
    </row>
    <row r="296" spans="1:2" x14ac:dyDescent="0.2">
      <c r="A296" s="3">
        <v>45108</v>
      </c>
      <c r="B296" s="6">
        <v>5.33</v>
      </c>
    </row>
    <row r="297" spans="1:2" x14ac:dyDescent="0.2">
      <c r="A297" s="3">
        <v>45139</v>
      </c>
      <c r="B297" s="6">
        <v>5.33</v>
      </c>
    </row>
    <row r="298" spans="1:2" x14ac:dyDescent="0.2">
      <c r="A298" s="3">
        <v>45170</v>
      </c>
      <c r="B298" s="6">
        <v>5.33</v>
      </c>
    </row>
    <row r="299" spans="1:2" x14ac:dyDescent="0.2">
      <c r="A299" s="3">
        <v>45200</v>
      </c>
      <c r="B299" s="6">
        <v>5.33</v>
      </c>
    </row>
    <row r="300" spans="1:2" x14ac:dyDescent="0.2">
      <c r="A300" s="3">
        <v>45231</v>
      </c>
      <c r="B300" s="6">
        <v>5.33</v>
      </c>
    </row>
    <row r="301" spans="1:2" x14ac:dyDescent="0.2">
      <c r="A301" s="3">
        <v>45261</v>
      </c>
      <c r="B301" s="6">
        <v>5.33</v>
      </c>
    </row>
    <row r="302" spans="1:2" x14ac:dyDescent="0.2">
      <c r="A302" s="3">
        <v>45292</v>
      </c>
      <c r="B302" s="6">
        <v>5.33</v>
      </c>
    </row>
    <row r="303" spans="1:2" x14ac:dyDescent="0.2">
      <c r="A303" s="3">
        <v>45323</v>
      </c>
      <c r="B303" s="6">
        <v>5.33</v>
      </c>
    </row>
    <row r="304" spans="1:2" x14ac:dyDescent="0.2">
      <c r="A304" s="3">
        <v>45352</v>
      </c>
      <c r="B304" s="6">
        <v>5.33</v>
      </c>
    </row>
    <row r="305" spans="1:2" x14ac:dyDescent="0.2">
      <c r="A305" s="3">
        <v>45383</v>
      </c>
      <c r="B305" s="6">
        <v>5.33</v>
      </c>
    </row>
    <row r="306" spans="1:2" x14ac:dyDescent="0.2">
      <c r="A306" s="3">
        <v>45413</v>
      </c>
      <c r="B306" s="6">
        <v>5.33</v>
      </c>
    </row>
    <row r="307" spans="1:2" x14ac:dyDescent="0.2">
      <c r="A307" s="3">
        <v>45444</v>
      </c>
      <c r="B307" s="6">
        <v>5.33</v>
      </c>
    </row>
    <row r="308" spans="1:2" x14ac:dyDescent="0.2">
      <c r="A308" s="3">
        <v>45474</v>
      </c>
      <c r="B308" s="6">
        <v>5.33</v>
      </c>
    </row>
    <row r="309" spans="1:2" x14ac:dyDescent="0.2">
      <c r="A309" s="3">
        <v>45505</v>
      </c>
      <c r="B309" s="6">
        <v>5.33</v>
      </c>
    </row>
    <row r="310" spans="1:2" x14ac:dyDescent="0.2">
      <c r="A310" s="3">
        <v>45536</v>
      </c>
      <c r="B310" s="6">
        <v>4.83</v>
      </c>
    </row>
    <row r="311" spans="1:2" x14ac:dyDescent="0.2">
      <c r="A311" s="3">
        <v>45566</v>
      </c>
      <c r="B311" s="6">
        <v>4.83</v>
      </c>
    </row>
    <row r="312" spans="1:2" x14ac:dyDescent="0.2">
      <c r="A312" s="3">
        <v>45597</v>
      </c>
      <c r="B312" s="6">
        <v>4.58</v>
      </c>
    </row>
    <row r="313" spans="1:2" x14ac:dyDescent="0.2">
      <c r="A313" s="3">
        <v>45627</v>
      </c>
      <c r="B313" s="6">
        <v>4.33</v>
      </c>
    </row>
    <row r="314" spans="1:2" x14ac:dyDescent="0.2">
      <c r="A314" s="3">
        <v>45658</v>
      </c>
      <c r="B314" s="6">
        <v>4.33</v>
      </c>
    </row>
    <row r="315" spans="1:2" x14ac:dyDescent="0.2">
      <c r="A315" s="3">
        <v>45689</v>
      </c>
      <c r="B315" s="6">
        <v>4.33</v>
      </c>
    </row>
    <row r="316" spans="1:2" x14ac:dyDescent="0.2">
      <c r="A316" s="3">
        <v>45717</v>
      </c>
      <c r="B316" s="6">
        <v>4.33</v>
      </c>
    </row>
    <row r="317" spans="1:2" x14ac:dyDescent="0.2">
      <c r="A31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9C64-F05E-8944-B800-E4AD6CE19A88}">
  <dimension ref="A1:B1"/>
  <sheetViews>
    <sheetView zoomScale="190" zoomScaleNormal="190" workbookViewId="0">
      <selection activeCell="A2" sqref="A2"/>
    </sheetView>
  </sheetViews>
  <sheetFormatPr baseColWidth="10" defaultRowHeight="15" x14ac:dyDescent="0.2"/>
  <sheetData>
    <row r="1" spans="1:2" x14ac:dyDescent="0.2">
      <c r="A1" t="s">
        <v>25</v>
      </c>
      <c r="B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mthly_data</vt:lpstr>
      <vt:lpstr>merged</vt:lpstr>
      <vt:lpstr>sp500_crsp_monthly</vt:lpstr>
      <vt:lpstr>cpi_fred_monthly</vt:lpstr>
      <vt:lpstr>icebondindex_fred_monthly</vt:lpstr>
      <vt:lpstr>mrktyield10yrtreas_fred_monthly</vt:lpstr>
      <vt:lpstr>3mtbdb_fred_monthly</vt:lpstr>
      <vt:lpstr>fedfundsrate_fred_monthly</vt:lpstr>
      <vt:lpstr>monetarypol_impl_dates</vt:lpstr>
      <vt:lpstr>psdhdnf0swaceg8s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Taheri</dc:creator>
  <cp:lastModifiedBy>Cameron Taheri</cp:lastModifiedBy>
  <dcterms:created xsi:type="dcterms:W3CDTF">2025-04-08T22:57:15Z</dcterms:created>
  <dcterms:modified xsi:type="dcterms:W3CDTF">2025-12-02T14:22:32Z</dcterms:modified>
</cp:coreProperties>
</file>